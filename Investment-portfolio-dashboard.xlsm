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cf55f8aeb01ac1a/Desktop/"/>
    </mc:Choice>
  </mc:AlternateContent>
  <xr:revisionPtr revIDLastSave="466" documentId="8_{8AD6BAC1-7F70-4ECD-B107-DA87BDCFB34F}" xr6:coauthVersionLast="47" xr6:coauthVersionMax="47" xr10:uidLastSave="{AA6519D3-4332-401A-98A3-794671D5B5BF}"/>
  <bookViews>
    <workbookView xWindow="-90" yWindow="0" windowWidth="9780" windowHeight="10170" firstSheet="8" activeTab="9" xr2:uid="{E2D48C4C-7993-49FC-ABD3-441C6A8B11CA}"/>
  </bookViews>
  <sheets>
    <sheet name="Transaction entry sheet " sheetId="2" r:id="rId1"/>
    <sheet name="Settings " sheetId="11" r:id="rId2"/>
    <sheet name=" Holdings sheet" sheetId="3" r:id="rId3"/>
    <sheet name="Market Data" sheetId="4" r:id="rId4"/>
    <sheet name="Performance " sheetId="10" r:id="rId5"/>
    <sheet name="Risk Analytics" sheetId="5" r:id="rId6"/>
    <sheet name="Allocation Analytics" sheetId="6" r:id="rId7"/>
    <sheet name="Watchlist " sheetId="7" r:id="rId8"/>
    <sheet name="Home dashboard " sheetId="8" r:id="rId9"/>
    <sheet name="(Report) " sheetId="12" r:id="rId10"/>
  </sheets>
  <functionGroups builtInGroupCount="19"/>
  <definedNames>
    <definedName name="_xlnm.Print_Area" localSheetId="9">'(Report) '!$A$1:$F$24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5" i="12" l="1"/>
  <c r="C15" i="12"/>
  <c r="D15" i="12"/>
  <c r="E15" i="12"/>
  <c r="F15" i="12"/>
  <c r="B16" i="12"/>
  <c r="C16" i="12"/>
  <c r="D16" i="12"/>
  <c r="E16" i="12"/>
  <c r="F16" i="12"/>
  <c r="B17" i="12"/>
  <c r="C17" i="12"/>
  <c r="D17" i="12"/>
  <c r="E17" i="12"/>
  <c r="F17" i="12"/>
  <c r="B18" i="12"/>
  <c r="C18" i="12"/>
  <c r="D18" i="12"/>
  <c r="E18" i="12"/>
  <c r="F18" i="12"/>
  <c r="B19" i="12"/>
  <c r="C19" i="12"/>
  <c r="D19" i="12"/>
  <c r="E19" i="12"/>
  <c r="F19" i="12"/>
  <c r="B20" i="12"/>
  <c r="C20" i="12"/>
  <c r="D20" i="12"/>
  <c r="E20" i="12"/>
  <c r="F20" i="12"/>
  <c r="B21" i="12"/>
  <c r="C21" i="12"/>
  <c r="D21" i="12"/>
  <c r="E21" i="12"/>
  <c r="F21" i="12"/>
  <c r="B22" i="12"/>
  <c r="C22" i="12"/>
  <c r="D22" i="12"/>
  <c r="E22" i="12"/>
  <c r="F22" i="12"/>
  <c r="B23" i="12"/>
  <c r="C23" i="12"/>
  <c r="D23" i="12"/>
  <c r="E23" i="12"/>
  <c r="F23" i="12"/>
  <c r="B24" i="12"/>
  <c r="C24" i="12"/>
  <c r="D24" i="12"/>
  <c r="E24" i="12"/>
  <c r="F24" i="12"/>
  <c r="A23" i="12"/>
  <c r="A24" i="12"/>
  <c r="A21" i="12"/>
  <c r="A22" i="12"/>
  <c r="A16" i="12"/>
  <c r="A17" i="12"/>
  <c r="A18" i="12"/>
  <c r="A19" i="12"/>
  <c r="A20" i="12"/>
  <c r="A15" i="12"/>
  <c r="B5" i="12"/>
  <c r="A2" i="12"/>
  <c r="A1" i="12"/>
  <c r="I5" i="4"/>
  <c r="M5" i="3" s="1"/>
  <c r="A15" i="8"/>
  <c r="A16" i="8"/>
  <c r="A13" i="8"/>
  <c r="A14" i="8"/>
  <c r="A12" i="8"/>
  <c r="G7" i="8"/>
  <c r="D7" i="8"/>
  <c r="D4" i="8"/>
  <c r="A2" i="8"/>
  <c r="D3" i="7"/>
  <c r="F3" i="7" s="1"/>
  <c r="D4" i="7"/>
  <c r="F4" i="7" s="1"/>
  <c r="D5" i="7"/>
  <c r="F5" i="7" s="1"/>
  <c r="D6" i="7"/>
  <c r="F6" i="7" s="1"/>
  <c r="D2" i="7"/>
  <c r="F2" i="7" s="1"/>
  <c r="H16" i="4"/>
  <c r="I16" i="4"/>
  <c r="H15" i="4"/>
  <c r="I15" i="4"/>
  <c r="H14" i="4"/>
  <c r="I14" i="4"/>
  <c r="H13" i="4"/>
  <c r="I13" i="4"/>
  <c r="H12" i="4"/>
  <c r="I12" i="4"/>
  <c r="B9" i="10"/>
  <c r="B10" i="10" s="1"/>
  <c r="B6" i="10"/>
  <c r="M6" i="3"/>
  <c r="F3" i="3"/>
  <c r="F4" i="3"/>
  <c r="F5" i="3"/>
  <c r="F6" i="3"/>
  <c r="F7" i="3"/>
  <c r="F8" i="3"/>
  <c r="F9" i="3"/>
  <c r="F10" i="3"/>
  <c r="H10" i="3" s="1"/>
  <c r="F11" i="3"/>
  <c r="F2" i="3"/>
  <c r="G3" i="3"/>
  <c r="G4" i="3"/>
  <c r="G5" i="3"/>
  <c r="G6" i="3"/>
  <c r="G7" i="3"/>
  <c r="G8" i="3"/>
  <c r="I8" i="3" s="1"/>
  <c r="G9" i="3"/>
  <c r="I9" i="3" s="1"/>
  <c r="G10" i="3"/>
  <c r="G11" i="3"/>
  <c r="G2" i="3"/>
  <c r="E3" i="3"/>
  <c r="E4" i="3"/>
  <c r="H4" i="3" s="1"/>
  <c r="E5" i="3"/>
  <c r="E6" i="3"/>
  <c r="H6" i="3" s="1"/>
  <c r="E7" i="3"/>
  <c r="E8" i="3"/>
  <c r="E9" i="3"/>
  <c r="E10" i="3"/>
  <c r="E11" i="3"/>
  <c r="E2" i="3"/>
  <c r="D3" i="3"/>
  <c r="D4" i="3"/>
  <c r="D5" i="3"/>
  <c r="D6" i="3"/>
  <c r="D7" i="3"/>
  <c r="D8" i="3"/>
  <c r="D9" i="3"/>
  <c r="D10" i="3"/>
  <c r="D11" i="3"/>
  <c r="D2" i="3"/>
  <c r="C3" i="3"/>
  <c r="C4" i="3"/>
  <c r="C5" i="3"/>
  <c r="C6" i="3"/>
  <c r="C7" i="3"/>
  <c r="C8" i="3"/>
  <c r="C9" i="3"/>
  <c r="C10" i="3"/>
  <c r="C11" i="3"/>
  <c r="C2" i="3"/>
  <c r="B3" i="3"/>
  <c r="B4" i="3"/>
  <c r="B5" i="3"/>
  <c r="B6" i="3"/>
  <c r="B7" i="3"/>
  <c r="B8" i="3"/>
  <c r="B9" i="3"/>
  <c r="B10" i="3"/>
  <c r="B11" i="3"/>
  <c r="B2" i="3"/>
  <c r="M13" i="2"/>
  <c r="M12" i="2"/>
  <c r="M11" i="2"/>
  <c r="M10" i="2"/>
  <c r="M9" i="2"/>
  <c r="M8" i="2"/>
  <c r="M7" i="2"/>
  <c r="M6" i="2"/>
  <c r="M5" i="2"/>
  <c r="M4" i="2"/>
  <c r="M3" i="2"/>
  <c r="M2" i="2"/>
  <c r="L6" i="4"/>
  <c r="H3" i="4"/>
  <c r="H4" i="4"/>
  <c r="H5" i="4"/>
  <c r="H6" i="4"/>
  <c r="H7" i="4"/>
  <c r="H8" i="4"/>
  <c r="H9" i="4"/>
  <c r="H10" i="4"/>
  <c r="H11" i="4"/>
  <c r="I3" i="4"/>
  <c r="M3" i="3" s="1"/>
  <c r="I4" i="4"/>
  <c r="M4" i="3" s="1"/>
  <c r="I6" i="4"/>
  <c r="I7" i="4"/>
  <c r="M7" i="3" s="1"/>
  <c r="I8" i="4"/>
  <c r="M8" i="3" s="1"/>
  <c r="I9" i="4"/>
  <c r="M9" i="3" s="1"/>
  <c r="I10" i="4"/>
  <c r="M10" i="3" s="1"/>
  <c r="I11" i="4"/>
  <c r="M11" i="3" s="1"/>
  <c r="I2" i="4"/>
  <c r="M2" i="3" s="1"/>
  <c r="H2" i="4"/>
  <c r="J6" i="7" l="1"/>
  <c r="J5" i="7"/>
  <c r="J4" i="7"/>
  <c r="A7" i="8"/>
  <c r="J2" i="7"/>
  <c r="J3" i="7"/>
  <c r="H9" i="3"/>
  <c r="H11" i="3"/>
  <c r="H8" i="3"/>
  <c r="B14" i="10"/>
  <c r="A5" i="6" a="1"/>
  <c r="A5" i="6" s="1"/>
  <c r="I7" i="3"/>
  <c r="A14" i="6" a="1"/>
  <c r="A14" i="6" s="1"/>
  <c r="I6" i="3"/>
  <c r="K6" i="3" s="1"/>
  <c r="I10" i="3"/>
  <c r="J10" i="3" s="1"/>
  <c r="I2" i="3"/>
  <c r="K2" i="3" s="1"/>
  <c r="J8" i="3"/>
  <c r="I5" i="3"/>
  <c r="M12" i="3"/>
  <c r="H3" i="3"/>
  <c r="H7" i="3"/>
  <c r="B9" i="5" a="1"/>
  <c r="B9" i="5" s="1"/>
  <c r="J9" i="3"/>
  <c r="H5" i="3"/>
  <c r="I4" i="3"/>
  <c r="I3" i="3"/>
  <c r="H2" i="3"/>
  <c r="K9" i="3"/>
  <c r="I11" i="3"/>
  <c r="K8" i="3"/>
  <c r="B5" i="6" l="1"/>
  <c r="B14" i="6"/>
  <c r="C14" i="6" s="1"/>
  <c r="K7" i="3"/>
  <c r="J2" i="3"/>
  <c r="B8" i="6"/>
  <c r="B7" i="6"/>
  <c r="K10" i="3"/>
  <c r="B6" i="6"/>
  <c r="B9" i="6"/>
  <c r="J6" i="3"/>
  <c r="K5" i="3"/>
  <c r="B3" i="10"/>
  <c r="H12" i="3"/>
  <c r="B4" i="10"/>
  <c r="A4" i="8" s="1"/>
  <c r="I12" i="3"/>
  <c r="J7" i="3"/>
  <c r="K3" i="3"/>
  <c r="J3" i="3"/>
  <c r="L3" i="3"/>
  <c r="J5" i="3"/>
  <c r="L4" i="3"/>
  <c r="J4" i="3"/>
  <c r="K4" i="3"/>
  <c r="L10" i="3"/>
  <c r="L6" i="3"/>
  <c r="L7" i="3"/>
  <c r="L2" i="3"/>
  <c r="L8" i="3"/>
  <c r="L5" i="3"/>
  <c r="L11" i="3"/>
  <c r="J11" i="3"/>
  <c r="K11" i="3"/>
  <c r="L9" i="3"/>
  <c r="L25" i="8" l="1"/>
  <c r="L20" i="8"/>
  <c r="L17" i="8"/>
  <c r="L19" i="8"/>
  <c r="L26" i="8"/>
  <c r="K28" i="8"/>
  <c r="K19" i="8"/>
  <c r="L28" i="8"/>
  <c r="L18" i="8"/>
  <c r="K16" i="8"/>
  <c r="K25" i="8"/>
  <c r="L24" i="8"/>
  <c r="L27" i="8"/>
  <c r="K27" i="8"/>
  <c r="K20" i="8"/>
  <c r="L16" i="8"/>
  <c r="K18" i="8"/>
  <c r="K26" i="8"/>
  <c r="K17" i="8"/>
  <c r="K24" i="8"/>
  <c r="B13" i="10"/>
  <c r="C8" i="6"/>
  <c r="B15" i="8" s="1"/>
  <c r="C6" i="6"/>
  <c r="B13" i="8" s="1"/>
  <c r="C5" i="6"/>
  <c r="B12" i="8" s="1"/>
  <c r="C9" i="6"/>
  <c r="B16" i="8" s="1"/>
  <c r="C7" i="6"/>
  <c r="B14" i="8" s="1"/>
  <c r="B5" i="10"/>
  <c r="J12" i="3"/>
  <c r="B15" i="10"/>
  <c r="B11" i="10"/>
  <c r="B10" i="12" s="1"/>
  <c r="B7" i="10"/>
  <c r="B8" i="12" s="1"/>
  <c r="B8" i="10"/>
  <c r="B10" i="5"/>
  <c r="B7" i="5"/>
  <c r="B8" i="5" s="1"/>
  <c r="B6" i="5"/>
  <c r="B16" i="10"/>
  <c r="B3" i="5"/>
  <c r="B12" i="10"/>
  <c r="G4" i="8" l="1"/>
  <c r="B7" i="12"/>
  <c r="J7" i="8"/>
  <c r="B9" i="12"/>
  <c r="B5" i="5"/>
  <c r="J4" i="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<sst xmlns="http://schemas.openxmlformats.org/spreadsheetml/2006/main" count="304" uniqueCount="168">
  <si>
    <t xml:space="preserve">Company Name </t>
  </si>
  <si>
    <t>Sector</t>
  </si>
  <si>
    <t xml:space="preserve">Indutstry </t>
  </si>
  <si>
    <t>Previous Close</t>
  </si>
  <si>
    <t>Day change (%)</t>
  </si>
  <si>
    <t>Day change (rs.)</t>
  </si>
  <si>
    <t xml:space="preserve">52W High </t>
  </si>
  <si>
    <t>52W Low</t>
  </si>
  <si>
    <t>Last Updated</t>
  </si>
  <si>
    <t xml:space="preserve">Ticker   </t>
  </si>
  <si>
    <t>RELIANCE.NS</t>
  </si>
  <si>
    <t>Reliance Industries</t>
  </si>
  <si>
    <t>Energy</t>
  </si>
  <si>
    <t>Oil &amp; Gas</t>
  </si>
  <si>
    <t>Equity</t>
  </si>
  <si>
    <t>TCS.NS</t>
  </si>
  <si>
    <t>Tata Consultancy Serv.</t>
  </si>
  <si>
    <t>Technology</t>
  </si>
  <si>
    <t>IT Services</t>
  </si>
  <si>
    <t>INFY.NS</t>
  </si>
  <si>
    <t>Infosys Ltd</t>
  </si>
  <si>
    <t>HDFCBANK.NS</t>
  </si>
  <si>
    <t>HDFC Bank Ltd</t>
  </si>
  <si>
    <t>Financial</t>
  </si>
  <si>
    <t>Banking</t>
  </si>
  <si>
    <t>TATAMOTORS.NS</t>
  </si>
  <si>
    <t>Tata Motors Ltd</t>
  </si>
  <si>
    <t>Automobile</t>
  </si>
  <si>
    <t>Auto Manufacturer</t>
  </si>
  <si>
    <t>SUNPHARMA.NS</t>
  </si>
  <si>
    <t>Sun Pharmaceutical</t>
  </si>
  <si>
    <t>Healthcare</t>
  </si>
  <si>
    <t>Pharmaceuticals</t>
  </si>
  <si>
    <t>BAJFINANCE.NS</t>
  </si>
  <si>
    <t>Bajaj Finance Ltd</t>
  </si>
  <si>
    <t>NBFC</t>
  </si>
  <si>
    <t>WIPRO.NS</t>
  </si>
  <si>
    <t>Wipro Ltd</t>
  </si>
  <si>
    <t>AAPL</t>
  </si>
  <si>
    <t>Apple Inc</t>
  </si>
  <si>
    <t>Consumer Electronics</t>
  </si>
  <si>
    <t>MSFT</t>
  </si>
  <si>
    <t>Microsoft Corp</t>
  </si>
  <si>
    <t>Software</t>
  </si>
  <si>
    <t>Current price (rs.)</t>
  </si>
  <si>
    <t>Txn ID</t>
  </si>
  <si>
    <t>Date</t>
  </si>
  <si>
    <t>Ticker</t>
  </si>
  <si>
    <t>Company Name</t>
  </si>
  <si>
    <t>Asset Type</t>
  </si>
  <si>
    <t>Action</t>
  </si>
  <si>
    <t>Quantity</t>
  </si>
  <si>
    <t>Notes</t>
  </si>
  <si>
    <t>TXN001</t>
  </si>
  <si>
    <t>BUY</t>
  </si>
  <si>
    <t>Initial position</t>
  </si>
  <si>
    <t>TXN002</t>
  </si>
  <si>
    <t>Tata Consultancy Services</t>
  </si>
  <si>
    <t>TXN003</t>
  </si>
  <si>
    <t>TXN004</t>
  </si>
  <si>
    <t>TXN005</t>
  </si>
  <si>
    <t>TXN006</t>
  </si>
  <si>
    <t>TXN007</t>
  </si>
  <si>
    <t>TXN008</t>
  </si>
  <si>
    <t>TXN009</t>
  </si>
  <si>
    <t>US position</t>
  </si>
  <si>
    <t>TXN010</t>
  </si>
  <si>
    <t>TXN011</t>
  </si>
  <si>
    <t>Top up + dividend</t>
  </si>
  <si>
    <t>TXN012</t>
  </si>
  <si>
    <t xml:space="preserve">Price </t>
  </si>
  <si>
    <t xml:space="preserve">Brokerage </t>
  </si>
  <si>
    <t xml:space="preserve">Taxes </t>
  </si>
  <si>
    <t>Dividend</t>
  </si>
  <si>
    <t xml:space="preserve">Total Cost </t>
  </si>
  <si>
    <t xml:space="preserve">Sector </t>
  </si>
  <si>
    <t>Shares Held</t>
  </si>
  <si>
    <t>Avg Buy Price</t>
  </si>
  <si>
    <t>Current Price ₹</t>
  </si>
  <si>
    <t>Total Cost ₹</t>
  </si>
  <si>
    <t>Current Value ₹</t>
  </si>
  <si>
    <t>Unrealised P&amp;L ₹</t>
  </si>
  <si>
    <t>Return %</t>
  </si>
  <si>
    <t>Portfolio Weight %</t>
  </si>
  <si>
    <t>Day Change ₹</t>
  </si>
  <si>
    <t>Total</t>
  </si>
  <si>
    <t>PERFORMANCE ANALYTICS</t>
  </si>
  <si>
    <t xml:space="preserve"> Total Invested Capital ₹</t>
  </si>
  <si>
    <t xml:space="preserve"> Current Portfolio Value ₹</t>
  </si>
  <si>
    <t xml:space="preserve"> Total Unrealised P&amp;L ₹</t>
  </si>
  <si>
    <t xml:space="preserve"> Total Realised Gain (Dividends) ₹</t>
  </si>
  <si>
    <t xml:space="preserve"> Total Return %</t>
  </si>
  <si>
    <t>CAGR %</t>
  </si>
  <si>
    <t>Portfolio Start Date</t>
  </si>
  <si>
    <t xml:space="preserve"> Days Invested</t>
  </si>
  <si>
    <t xml:space="preserve"> Win Rate %</t>
  </si>
  <si>
    <t xml:space="preserve"> Average Gain %</t>
  </si>
  <si>
    <t xml:space="preserve"> Average Loss %</t>
  </si>
  <si>
    <t xml:space="preserve"> Number of Holdings</t>
  </si>
  <si>
    <t xml:space="preserve"> Best Performer</t>
  </si>
  <si>
    <t xml:space="preserve"> Worst Performer</t>
  </si>
  <si>
    <t>RISK ANALYTICS</t>
  </si>
  <si>
    <t>Portfolio Volatility (Std Dev) %</t>
  </si>
  <si>
    <t>Risk-Free Rate %</t>
  </si>
  <si>
    <t>Sharpe Ratio</t>
  </si>
  <si>
    <t>Largest Holding %</t>
  </si>
  <si>
    <t>Concentration Risk (Top 3 Holdings %)</t>
  </si>
  <si>
    <t>Diversification Score (1-10)</t>
  </si>
  <si>
    <t>Number of Sectors</t>
  </si>
  <si>
    <t>Max Single Stock Exposure</t>
  </si>
  <si>
    <t>ALLOCATION ANALYSIS</t>
  </si>
  <si>
    <t>Sector Allocation</t>
  </si>
  <si>
    <t>Total Value</t>
  </si>
  <si>
    <t xml:space="preserve">Weight </t>
  </si>
  <si>
    <t>Asset Type Allocation</t>
  </si>
  <si>
    <t xml:space="preserve">Total Value </t>
  </si>
  <si>
    <t xml:space="preserve"> Symbol </t>
  </si>
  <si>
    <t>Target Price ₹</t>
  </si>
  <si>
    <t>Upside %</t>
  </si>
  <si>
    <t>52W High</t>
  </si>
  <si>
    <t>Status</t>
  </si>
  <si>
    <t>ITC.NS</t>
  </si>
  <si>
    <t>LT.NS</t>
  </si>
  <si>
    <t>MARUTI.NS</t>
  </si>
  <si>
    <t>ADANIENT.NS</t>
  </si>
  <si>
    <t>ASIANPAINT.NS</t>
  </si>
  <si>
    <t>ITC Ltd</t>
  </si>
  <si>
    <t>Larsen &amp; Toubro</t>
  </si>
  <si>
    <t>Maruti Suzuki India</t>
  </si>
  <si>
    <t>Adani Enterprises</t>
  </si>
  <si>
    <t>Asian Paints Ltd</t>
  </si>
  <si>
    <t>Consumer</t>
  </si>
  <si>
    <t>Infrastructure</t>
  </si>
  <si>
    <t>Wait for dividend yield above 4%</t>
  </si>
  <si>
    <t>Strong order book, infra tailwind</t>
  </si>
  <si>
    <t>Wait for correction post rally</t>
  </si>
  <si>
    <t>High volatility, monitor debt levels</t>
  </si>
  <si>
    <t>Wait for post-earnings dip</t>
  </si>
  <si>
    <t>FMCG</t>
  </si>
  <si>
    <t>Engineering &amp; Construction</t>
  </si>
  <si>
    <t>Diversified</t>
  </si>
  <si>
    <t>Paints &amp; Coatings</t>
  </si>
  <si>
    <t>INVESTMENT PORTFOLIO DASHBOARD</t>
  </si>
  <si>
    <t xml:space="preserve">Sector Breakdown </t>
  </si>
  <si>
    <t xml:space="preserve">Top 5 Gainers </t>
  </si>
  <si>
    <t xml:space="preserve">Ticker </t>
  </si>
  <si>
    <t>Top 5 Losers</t>
  </si>
  <si>
    <t>SETTINGS</t>
  </si>
  <si>
    <t>Benchmark Index</t>
  </si>
  <si>
    <t>NIFTY 50</t>
  </si>
  <si>
    <t>USD to INR Rate</t>
  </si>
  <si>
    <t>Currency Display</t>
  </si>
  <si>
    <t>INR</t>
  </si>
  <si>
    <t>Target Equity Allocation %</t>
  </si>
  <si>
    <t>Theme Color</t>
  </si>
  <si>
    <t>Navy Blue / Gold</t>
  </si>
  <si>
    <t>PORTFOLIO SUMMARY</t>
  </si>
  <si>
    <t>Total Invested Capital</t>
  </si>
  <si>
    <t>Current Portfolio Value</t>
  </si>
  <si>
    <t>Unrealised P&amp;L</t>
  </si>
  <si>
    <t>Total Return %</t>
  </si>
  <si>
    <t>CAGR</t>
  </si>
  <si>
    <t>Win Rate</t>
  </si>
  <si>
    <t>CURRENT HOLDINGS</t>
  </si>
  <si>
    <t>Shares</t>
  </si>
  <si>
    <t>Avg Buy ₹</t>
  </si>
  <si>
    <t>Current ₹</t>
  </si>
  <si>
    <t>Value 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</si>
</sst>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[$-14009]dd/mm/yy;@"/>
  </numFmts>
  <fonts count="12" x14ac:knownFonts="1">
    <font>
      <sz val="11"/>
      <color theme="1"/>
      <name val="calibri"/>
      <family val="2"/>
    </font>
    <font>
      <b/>
      <sz val="11"/>
      <color theme="0"/>
      <name val="calibri"/>
      <family val="2"/>
    </font>
    <font>
      <b/>
      <sz val="11"/>
      <color theme="1"/>
      <name val="calibri"/>
      <family val="2"/>
    </font>
    <font>
      <b/>
      <sz val="16"/>
      <color theme="0"/>
      <name val="calibri"/>
      <family val="2"/>
    </font>
    <font>
      <b/>
      <sz val="20"/>
      <color theme="0"/>
      <name val="calibri"/>
      <family val="2"/>
    </font>
    <font>
      <i/>
      <sz val="11"/>
      <color theme="0" tint="-0.499984740745262"/>
      <name val="calibri"/>
      <family val="2"/>
    </font>
    <font>
      <b/>
      <sz val="11"/>
      <color rgb="FF00B050"/>
      <name val="calibri"/>
      <family val="2"/>
    </font>
    <font>
      <b/>
      <sz val="11"/>
      <color rgb="FFC00000"/>
      <name val="calibri"/>
      <family val="2"/>
    </font>
    <font>
      <i/>
      <sz val="11"/>
      <color theme="1" tint="0.34998626667073579"/>
      <name val="calibri"/>
      <family val="2"/>
    </font>
    <font>
      <b/>
      <u/>
      <sz val="12"/>
      <color theme="1"/>
      <name val="calibri"/>
      <family val="2"/>
    </font>
    <font>
      <b/>
      <u/>
      <sz val="11"/>
      <color theme="1"/>
      <name val="calibri"/>
      <family val="2"/>
    </font>
    <font>
      <b/>
      <i/>
      <sz val="11"/>
      <color theme="1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0C7878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9.9978637043366805E-2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2" fillId="0" borderId="0" xfId="0" applyFont="1"/>
    <xf numFmtId="0" fontId="1" fillId="2" borderId="0" xfId="0" applyFont="1" applyFill="1" applyAlignment="1">
      <alignment horizontal="center" vertical="center"/>
    </xf>
    <xf numFmtId="10" fontId="0" fillId="0" borderId="0" xfId="0" applyNumberFormat="1"/>
    <xf numFmtId="2" fontId="0" fillId="0" borderId="0" xfId="0" applyNumberFormat="1"/>
    <xf numFmtId="164" fontId="0" fillId="0" borderId="0" xfId="0" applyNumberFormat="1"/>
    <xf numFmtId="164" fontId="1" fillId="2" borderId="0" xfId="0" applyNumberFormat="1" applyFont="1" applyFill="1" applyAlignment="1">
      <alignment horizontal="center" vertical="center"/>
    </xf>
    <xf numFmtId="165" fontId="0" fillId="0" borderId="0" xfId="0" applyNumberFormat="1"/>
    <xf numFmtId="0" fontId="0" fillId="0" borderId="0" xfId="0" applyAlignment="1">
      <alignment horizontal="center"/>
    </xf>
    <xf numFmtId="0" fontId="1" fillId="3" borderId="0" xfId="0" applyFont="1" applyFill="1" applyAlignment="1">
      <alignment horizontal="center"/>
    </xf>
    <xf numFmtId="0" fontId="0" fillId="0" borderId="1" xfId="0" applyBorder="1" applyAlignment="1">
      <alignment horizontal="left"/>
    </xf>
    <xf numFmtId="0" fontId="0" fillId="0" borderId="0" xfId="0" quotePrefix="1"/>
    <xf numFmtId="0" fontId="0" fillId="0" borderId="0" xfId="0" applyAlignment="1">
      <alignment horizontal="left"/>
    </xf>
    <xf numFmtId="0" fontId="2" fillId="0" borderId="3" xfId="0" applyFont="1" applyBorder="1"/>
    <xf numFmtId="2" fontId="0" fillId="0" borderId="4" xfId="0" applyNumberFormat="1" applyBorder="1"/>
    <xf numFmtId="0" fontId="2" fillId="0" borderId="5" xfId="0" applyFont="1" applyBorder="1"/>
    <xf numFmtId="2" fontId="0" fillId="0" borderId="6" xfId="0" applyNumberFormat="1" applyBorder="1"/>
    <xf numFmtId="10" fontId="0" fillId="0" borderId="6" xfId="0" applyNumberFormat="1" applyBorder="1"/>
    <xf numFmtId="14" fontId="0" fillId="0" borderId="6" xfId="0" applyNumberFormat="1" applyBorder="1"/>
    <xf numFmtId="0" fontId="0" fillId="0" borderId="6" xfId="0" applyBorder="1"/>
    <xf numFmtId="0" fontId="0" fillId="0" borderId="6" xfId="0" applyBorder="1" applyAlignment="1">
      <alignment horizontal="right"/>
    </xf>
    <xf numFmtId="0" fontId="2" fillId="0" borderId="7" xfId="0" applyFont="1" applyBorder="1"/>
    <xf numFmtId="0" fontId="0" fillId="0" borderId="8" xfId="0" applyBorder="1" applyAlignment="1">
      <alignment horizontal="right"/>
    </xf>
    <xf numFmtId="0" fontId="2" fillId="0" borderId="2" xfId="0" applyFont="1" applyBorder="1"/>
    <xf numFmtId="10" fontId="0" fillId="0" borderId="2" xfId="0" applyNumberFormat="1" applyBorder="1"/>
    <xf numFmtId="2" fontId="0" fillId="0" borderId="2" xfId="0" applyNumberFormat="1" applyBorder="1"/>
    <xf numFmtId="0" fontId="0" fillId="0" borderId="2" xfId="0" applyBorder="1" applyAlignment="1">
      <alignment horizontal="right"/>
    </xf>
    <xf numFmtId="0" fontId="2" fillId="4" borderId="0" xfId="0" applyFont="1" applyFill="1" applyAlignment="1">
      <alignment horizontal="center"/>
    </xf>
    <xf numFmtId="0" fontId="2" fillId="5" borderId="0" xfId="0" applyFont="1" applyFill="1" applyAlignment="1">
      <alignment horizontal="center"/>
    </xf>
    <xf numFmtId="0" fontId="6" fillId="0" borderId="0" xfId="0" applyFont="1"/>
    <xf numFmtId="0" fontId="0" fillId="10" borderId="0" xfId="0" applyFill="1"/>
    <xf numFmtId="0" fontId="7" fillId="0" borderId="0" xfId="0" applyFont="1"/>
    <xf numFmtId="0" fontId="0" fillId="0" borderId="0" xfId="0" applyAlignment="1">
      <alignment horizontal="right"/>
    </xf>
    <xf numFmtId="0" fontId="9" fillId="0" borderId="0" xfId="0" applyFont="1"/>
    <xf numFmtId="0" fontId="10" fillId="0" borderId="0" xfId="0" applyFont="1"/>
    <xf numFmtId="0" fontId="11" fillId="0" borderId="0" xfId="0" applyFont="1" applyAlignment="1">
      <alignment horizontal="center"/>
    </xf>
    <xf numFmtId="0" fontId="1" fillId="2" borderId="0" xfId="0" applyFont="1" applyFill="1" applyAlignment="1">
      <alignment horizontal="center"/>
    </xf>
    <xf numFmtId="0" fontId="8" fillId="0" borderId="0" xfId="0" applyFont="1" applyAlignment="1">
      <alignment horizontal="center"/>
    </xf>
    <xf numFmtId="0" fontId="3" fillId="2" borderId="0" xfId="0" applyFont="1" applyFill="1" applyAlignment="1">
      <alignment horizontal="center"/>
    </xf>
    <xf numFmtId="0" fontId="1" fillId="9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left"/>
    </xf>
    <xf numFmtId="0" fontId="4" fillId="2" borderId="0" xfId="0" applyFont="1" applyFill="1" applyAlignment="1">
      <alignment horizontal="center" vertical="center"/>
    </xf>
    <xf numFmtId="0" fontId="5" fillId="0" borderId="0" xfId="0" applyFont="1" applyAlignment="1">
      <alignment horizontal="center"/>
    </xf>
    <xf numFmtId="0" fontId="1" fillId="6" borderId="0" xfId="0" applyFont="1" applyFill="1" applyAlignment="1">
      <alignment horizontal="center" vertical="center" wrapText="1"/>
    </xf>
    <xf numFmtId="0" fontId="1" fillId="7" borderId="0" xfId="0" applyFont="1" applyFill="1" applyAlignment="1">
      <alignment horizontal="center" vertical="center" wrapText="1"/>
    </xf>
    <xf numFmtId="0" fontId="1" fillId="8" borderId="0" xfId="0" applyFont="1" applyFill="1" applyAlignment="1">
      <alignment horizontal="center" vertical="center" wrapText="1"/>
    </xf>
  </cellXfs>
  <cellStyles count="1">
    <cellStyle name="Normal" xfId="0" builtinId="0"/>
  </cellStyles>
  <dxfs count="54">
    <dxf>
      <numFmt numFmtId="2" formatCode="0.00"/>
    </dxf>
    <dxf>
      <numFmt numFmtId="2" formatCode="0.00"/>
    </dxf>
    <dxf>
      <numFmt numFmtId="14" formatCode="0.00%"/>
    </dxf>
    <dxf>
      <numFmt numFmtId="2" formatCode="0.00"/>
    </dxf>
    <dxf>
      <numFmt numFmtId="2" formatCode="0.00"/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7" tint="-0.499984740745262"/>
        </patternFill>
      </fill>
      <alignment horizontal="center" vertical="bottom" textRotation="0" wrapText="0" indent="0" justifyLastLine="0" shrinkToFit="0" readingOrder="0"/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numFmt numFmtId="164" formatCode="[$-F800]dddd\,\ mmmm\ dd\,\ yyyy"/>
    </dxf>
    <dxf>
      <numFmt numFmtId="2" formatCode="0.00"/>
    </dxf>
    <dxf>
      <numFmt numFmtId="2" formatCode="0.00"/>
    </dxf>
    <dxf>
      <numFmt numFmtId="14" formatCode="0.00%"/>
    </dxf>
    <dxf>
      <numFmt numFmtId="2" formatCode="0.00"/>
    </dxf>
    <dxf>
      <numFmt numFmtId="2" formatCode="0.00"/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4" formatCode="0.00%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solid">
          <fgColor indexed="64"/>
          <bgColor theme="5" tint="-0.249977111117893"/>
        </patternFill>
      </fill>
      <alignment horizontal="center" vertical="bottom" textRotation="0" wrapText="0" indent="0" justifyLastLine="0" shrinkToFit="0" readingOrder="0"/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alignment horizontal="center" vertical="bottom" textRotation="0" wrapText="0" indent="0" justifyLastLine="0" shrinkToFit="0" readingOrder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[$-14009]dd/mm/yy;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0" indent="0" justifyLastLine="0" shrinkToFit="0" readingOrder="0"/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C78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Sector Allocation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pattFill prst="ltUpDiag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4-98A7-460E-B91C-BDBDE7461934}"/>
              </c:ext>
            </c:extLst>
          </c:dPt>
          <c:dPt>
            <c:idx val="1"/>
            <c:bubble3D val="0"/>
            <c:spPr>
              <a:pattFill prst="ltUpDiag">
                <a:fgClr>
                  <a:schemeClr val="accent2"/>
                </a:fgClr>
                <a:bgClr>
                  <a:schemeClr val="accent2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2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3-A38E-4E91-AFF4-F6F96118568E}"/>
              </c:ext>
            </c:extLst>
          </c:dPt>
          <c:dPt>
            <c:idx val="2"/>
            <c:bubble3D val="0"/>
            <c:spPr>
              <a:pattFill prst="ltUpDiag">
                <a:fgClr>
                  <a:schemeClr val="accent3"/>
                </a:fgClr>
                <a:bgClr>
                  <a:schemeClr val="accent3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3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1-98A7-460E-B91C-BDBDE7461934}"/>
              </c:ext>
            </c:extLst>
          </c:dPt>
          <c:dPt>
            <c:idx val="3"/>
            <c:bubble3D val="0"/>
            <c:spPr>
              <a:pattFill prst="ltUpDiag">
                <a:fgClr>
                  <a:schemeClr val="accent4"/>
                </a:fgClr>
                <a:bgClr>
                  <a:schemeClr val="accent4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2-98A7-460E-B91C-BDBDE7461934}"/>
              </c:ext>
            </c:extLst>
          </c:dPt>
          <c:dPt>
            <c:idx val="4"/>
            <c:bubble3D val="0"/>
            <c:spPr>
              <a:pattFill prst="ltUpDiag">
                <a:fgClr>
                  <a:schemeClr val="accent5"/>
                </a:fgClr>
                <a:bgClr>
                  <a:schemeClr val="accent5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5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3-98A7-460E-B91C-BDBDE7461934}"/>
              </c:ext>
            </c:extLst>
          </c:dPt>
          <c:dLbls>
            <c:dLbl>
              <c:idx val="0"/>
              <c:layout>
                <c:manualLayout>
                  <c:x val="8.3333333333333332E-3"/>
                  <c:y val="4.6296296296296294E-2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8A7-460E-B91C-BDBDE7461934}"/>
                </c:ext>
              </c:extLst>
            </c:dLbl>
            <c:dLbl>
              <c:idx val="2"/>
              <c:layout>
                <c:manualLayout>
                  <c:x val="-1.9444444444444445E-2"/>
                  <c:y val="7.4074074074074028E-2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8A7-460E-B91C-BDBDE7461934}"/>
                </c:ext>
              </c:extLst>
            </c:dLbl>
            <c:dLbl>
              <c:idx val="3"/>
              <c:layout>
                <c:manualLayout>
                  <c:x val="-2.5000000000000001E-2"/>
                  <c:y val="2.7777777777777801E-2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8A7-460E-B91C-BDBDE7461934}"/>
                </c:ext>
              </c:extLst>
            </c:dLbl>
            <c:dLbl>
              <c:idx val="4"/>
              <c:layout>
                <c:manualLayout>
                  <c:x val="3.8888888888888841E-2"/>
                  <c:y val="-4.6296296296296294E-3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8A7-460E-B91C-BDBDE746193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'Allocation Analytics'!$A$5:$A$9</c:f>
              <c:strCache>
                <c:ptCount val="5"/>
                <c:pt idx="0">
                  <c:v>Energy</c:v>
                </c:pt>
                <c:pt idx="1">
                  <c:v>Technology</c:v>
                </c:pt>
                <c:pt idx="2">
                  <c:v>Financial</c:v>
                </c:pt>
                <c:pt idx="3">
                  <c:v>Automobile</c:v>
                </c:pt>
                <c:pt idx="4">
                  <c:v>Healthcare</c:v>
                </c:pt>
              </c:strCache>
            </c:strRef>
          </c:cat>
          <c:val>
            <c:numRef>
              <c:f>'Allocation Analytics'!$B$5:$B$9</c:f>
              <c:numCache>
                <c:formatCode>0.00</c:formatCode>
                <c:ptCount val="5"/>
                <c:pt idx="0">
                  <c:v>64645.000000000007</c:v>
                </c:pt>
                <c:pt idx="1">
                  <c:v>185162.59999999998</c:v>
                </c:pt>
                <c:pt idx="2">
                  <c:v>45960.5</c:v>
                </c:pt>
                <c:pt idx="3">
                  <c:v>43440</c:v>
                </c:pt>
                <c:pt idx="4">
                  <c:v>50027.5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A7-460E-B91C-BDBDE74619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Sector</a:t>
            </a:r>
            <a:r>
              <a:rPr lang="en-IN" baseline="0"/>
              <a:t> Allocation</a:t>
            </a:r>
            <a:endParaRPr lang="en-IN"/>
          </a:p>
        </c:rich>
      </c:tx>
      <c:layout>
        <c:manualLayout>
          <c:xMode val="edge"/>
          <c:yMode val="edge"/>
          <c:x val="0.22105111573883052"/>
          <c:y val="3.96649818592569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IN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pattFill prst="ltUpDiag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1-FB5F-41F1-BE20-EC69DD6C5D8A}"/>
              </c:ext>
            </c:extLst>
          </c:dPt>
          <c:dPt>
            <c:idx val="1"/>
            <c:bubble3D val="0"/>
            <c:spPr>
              <a:pattFill prst="ltUpDiag">
                <a:fgClr>
                  <a:schemeClr val="accent2"/>
                </a:fgClr>
                <a:bgClr>
                  <a:schemeClr val="accent2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2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3-FB5F-41F1-BE20-EC69DD6C5D8A}"/>
              </c:ext>
            </c:extLst>
          </c:dPt>
          <c:dPt>
            <c:idx val="2"/>
            <c:bubble3D val="0"/>
            <c:spPr>
              <a:pattFill prst="ltUpDiag">
                <a:fgClr>
                  <a:schemeClr val="accent3"/>
                </a:fgClr>
                <a:bgClr>
                  <a:schemeClr val="accent3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3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1-18F0-4ED9-8A1B-35379B972CD8}"/>
              </c:ext>
            </c:extLst>
          </c:dPt>
          <c:dPt>
            <c:idx val="3"/>
            <c:bubble3D val="0"/>
            <c:spPr>
              <a:pattFill prst="ltUpDiag">
                <a:fgClr>
                  <a:schemeClr val="accent4"/>
                </a:fgClr>
                <a:bgClr>
                  <a:schemeClr val="accent4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7-FB5F-41F1-BE20-EC69DD6C5D8A}"/>
              </c:ext>
            </c:extLst>
          </c:dPt>
          <c:dPt>
            <c:idx val="4"/>
            <c:bubble3D val="0"/>
            <c:spPr>
              <a:pattFill prst="ltUpDiag">
                <a:fgClr>
                  <a:schemeClr val="accent5"/>
                </a:fgClr>
                <a:bgClr>
                  <a:schemeClr val="accent5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5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9-FB5F-41F1-BE20-EC69DD6C5D8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dashboard '!$A$12:$A$16</c:f>
              <c:strCache>
                <c:ptCount val="5"/>
                <c:pt idx="0">
                  <c:v>Energy</c:v>
                </c:pt>
                <c:pt idx="1">
                  <c:v>Technology</c:v>
                </c:pt>
                <c:pt idx="2">
                  <c:v>Financial</c:v>
                </c:pt>
                <c:pt idx="3">
                  <c:v>Automobile</c:v>
                </c:pt>
                <c:pt idx="4">
                  <c:v>Healthcare</c:v>
                </c:pt>
              </c:strCache>
            </c:strRef>
          </c:cat>
          <c:val>
            <c:numRef>
              <c:f>'Home dashboard '!$B$12:$B$16</c:f>
              <c:numCache>
                <c:formatCode>0.00%</c:formatCode>
                <c:ptCount val="5"/>
                <c:pt idx="0">
                  <c:v>0.16608193084085837</c:v>
                </c:pt>
                <c:pt idx="1">
                  <c:v>0.47570828567582202</c:v>
                </c:pt>
                <c:pt idx="2">
                  <c:v>0.11807887048358373</c:v>
                </c:pt>
                <c:pt idx="3">
                  <c:v>0.11160335796622919</c:v>
                </c:pt>
                <c:pt idx="4">
                  <c:v>0.12852755503350671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F0-4ED9-8A1B-35379B972CD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'Transaction entry sheet '!A1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298450</xdr:colOff>
      <xdr:row>18</xdr:row>
      <xdr:rowOff>25400</xdr:rowOff>
    </xdr:from>
    <xdr:to>
      <xdr:col>4</xdr:col>
      <xdr:colOff>533400</xdr:colOff>
      <xdr:row>21</xdr:row>
      <xdr:rowOff>6350</xdr:rowOff>
    </xdr:to>
    <xdr:sp macro="[0]!RefreshMarketPrice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E94ED0B-77B1-DC44-521A-008C8B2463C1}"/>
            </a:ext>
          </a:extLst>
        </xdr:cNvPr>
        <xdr:cNvSpPr/>
      </xdr:nvSpPr>
      <xdr:spPr>
        <a:xfrm>
          <a:off x="3638550" y="3409950"/>
          <a:ext cx="1327150" cy="53340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900"/>
        </a:p>
        <a:p>
          <a:pPr algn="ctr"/>
          <a:r>
            <a:rPr lang="en-IN" sz="900" b="1"/>
            <a:t>REFRESH LIVE PRICES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20484</xdr:colOff>
      <xdr:row>0</xdr:row>
      <xdr:rowOff>0</xdr:rowOff>
    </xdr:from>
    <xdr:to>
      <xdr:col>9</xdr:col>
      <xdr:colOff>389196</xdr:colOff>
      <xdr:row>12</xdr:row>
      <xdr:rowOff>74596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97D0C01-8A6B-7455-C469-B625402D33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13650</xdr:colOff>
      <xdr:row>10</xdr:row>
      <xdr:rowOff>590</xdr:rowOff>
    </xdr:from>
    <xdr:to>
      <xdr:col>9</xdr:col>
      <xdr:colOff>233743</xdr:colOff>
      <xdr:row>27</xdr:row>
      <xdr:rowOff>85817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93AF78B-2805-532D-E09E-108FC1D8CD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13957</xdr:colOff>
      <xdr:row>28</xdr:row>
      <xdr:rowOff>167473</xdr:rowOff>
    </xdr:from>
    <xdr:to>
      <xdr:col>2</xdr:col>
      <xdr:colOff>579176</xdr:colOff>
      <xdr:row>31</xdr:row>
      <xdr:rowOff>0</xdr:rowOff>
    </xdr:to>
    <xdr:sp macro="" textlink="">
      <xdr:nvSpPr>
        <xdr:cNvPr id="3" name="Rectangle: Rounded Corner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838C38B-4982-EAA6-A799-B35EFB6567E9}"/>
            </a:ext>
          </a:extLst>
        </xdr:cNvPr>
        <xdr:cNvSpPr/>
      </xdr:nvSpPr>
      <xdr:spPr>
        <a:xfrm>
          <a:off x="795495" y="5575440"/>
          <a:ext cx="1172307" cy="37681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>
              <a:solidFill>
                <a:schemeClr val="bg1">
                  <a:lumMod val="95000"/>
                </a:schemeClr>
              </a:solidFill>
            </a:rPr>
            <a:t>Transactions 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107950</xdr:colOff>
      <xdr:row>1</xdr:row>
      <xdr:rowOff>6350</xdr:rowOff>
    </xdr:from>
    <xdr:to>
      <xdr:col>8</xdr:col>
      <xdr:colOff>317500</xdr:colOff>
      <xdr:row>2</xdr:row>
      <xdr:rowOff>114300</xdr:rowOff>
    </xdr:to>
    <xdr:sp macro="[0]!Module1.ExportReportToPDF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ECD2E5B-2A61-52AC-5AEB-16A01D59DB7D}"/>
            </a:ext>
          </a:extLst>
        </xdr:cNvPr>
        <xdr:cNvSpPr/>
      </xdr:nvSpPr>
      <xdr:spPr>
        <a:xfrm>
          <a:off x="3879850" y="190500"/>
          <a:ext cx="1428750" cy="292100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b="1"/>
            <a:t>EXPORT TO PDF</a:t>
          </a:r>
          <a:endParaRPr lang="en-IN" sz="1100" b="1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E54F336-50A1-4E8F-A827-24E580D1E963}" name="Table2" displayName="Table2" ref="A1:N13" totalsRowShown="0" headerRowDxfId="50">
  <autoFilter ref="A1:N13" xr:uid="{BE54F336-50A1-4E8F-A827-24E580D1E963}"/>
  <tableColumns count="14">
    <tableColumn id="1" xr3:uid="{155B67E3-2649-40E5-882D-63E4CA36C4E1}" name="Txn ID" dataDxfId="49"/>
    <tableColumn id="2" xr3:uid="{D9E365EC-7DCA-4B71-B60C-54EE44F0B0F6}" name="Date" dataDxfId="48"/>
    <tableColumn id="3" xr3:uid="{DB503A01-9399-48C3-8685-DEE550BC9A86}" name="Ticker" dataDxfId="47"/>
    <tableColumn id="4" xr3:uid="{4D1A6057-7BAD-479C-BDD3-25EA69C4678A}" name="Company Name" dataDxfId="46"/>
    <tableColumn id="5" xr3:uid="{4049E7D8-096E-43FB-9086-B954D15B12CB}" name="Asset Type" dataDxfId="45"/>
    <tableColumn id="6" xr3:uid="{8F6F2B60-B6E2-4A84-B260-493CF9D19AE4}" name="Sector"/>
    <tableColumn id="7" xr3:uid="{D0DDA6B4-C131-4B17-8C8A-19CAA483D3DF}" name="Action"/>
    <tableColumn id="8" xr3:uid="{C72EB7E1-4FDF-4452-BE77-7C8B3A32C423}" name="Quantity"/>
    <tableColumn id="9" xr3:uid="{3F307D69-F35D-460F-BFE7-CC26203B80DF}" name="Price " dataDxfId="44"/>
    <tableColumn id="10" xr3:uid="{63545D3E-2576-4E3A-8C2E-658D122993E6}" name="Brokerage " dataDxfId="43"/>
    <tableColumn id="11" xr3:uid="{A168D0AE-2425-4ACF-AED8-811D939EA2AB}" name="Taxes " dataDxfId="42"/>
    <tableColumn id="12" xr3:uid="{05112009-A982-4D71-8F4E-103287DD9679}" name="Dividend" dataDxfId="41"/>
    <tableColumn id="13" xr3:uid="{F147A6AA-7609-4C46-9551-869CA844B615}" name="Total Cost " dataDxfId="40">
      <calculatedColumnFormula>IF(G2="BUY",(H2*I2)+J2+K2,IF(G2="SELL",(H2*I2)-J2-K2,0))</calculatedColumnFormula>
    </tableColumn>
    <tableColumn id="14" xr3:uid="{A8B11E2B-4AF0-435A-A714-B08557494014}" name="Notes" dataDxfId="3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E6C6D4B-1FCE-4A08-B6D6-26959D814C28}" name="Table3" displayName="Table3" ref="A1:M12" totalsRowCount="1" headerRowDxfId="34">
  <autoFilter ref="A1:M11" xr:uid="{1E6C6D4B-1FCE-4A08-B6D6-26959D814C28}"/>
  <tableColumns count="13">
    <tableColumn id="1" xr3:uid="{4DAFFB28-276E-4C14-BA6C-BCF17813648C}" name="Ticker" totalsRowLabel="Total" dataDxfId="33" totalsRowDxfId="32"/>
    <tableColumn id="2" xr3:uid="{8112A975-EC82-479F-B10B-1FA27DA3A819}" name="Company Name ">
      <calculatedColumnFormula>_xlfn.XLOOKUP(A2,tblMarketdata[[#This Row],[Ticker   ]],tblMarketdata[[#This Row],[Company Name ]],"Not Found")</calculatedColumnFormula>
    </tableColumn>
    <tableColumn id="3" xr3:uid="{DC4738A6-95B4-44F7-99FA-434136B3BEF9}" name="Sector ">
      <calculatedColumnFormula>_xlfn.XLOOKUP(A2,tblMarketdata[[#This Row],[Ticker   ]],tblMarketdata[[#This Row],[Sector]],"Not Found")</calculatedColumnFormula>
    </tableColumn>
    <tableColumn id="4" xr3:uid="{D774033E-6438-40A1-8108-2A73860F1750}" name="Asset Type">
      <calculatedColumnFormula>_xlfn.XLOOKUP(A2,tblMarketdata[[#This Row],[Ticker   ]],tblMarketdata[[#This Row],[Asset Type]],"Not Found")</calculatedColumnFormula>
    </tableColumn>
    <tableColumn id="5" xr3:uid="{3FCEB555-6368-4F5A-9519-AC5B9A9D4E1D}" name="Shares Held" dataDxfId="31">
      <calculatedColumnFormula>SUMIFS(Table2[[#This Row],[Quantity]],Table2[[#This Row],[Ticker]],' Holdings sheet'!A2,Table2[[#This Row],[Action]],"BUY")-SUMIFS(Table2[[#This Row],[Quantity]],Table2[[#This Row],[Ticker]],' Holdings sheet'!A2,Table2[[#This Row],[Action]],"SELL")</calculatedColumnFormula>
    </tableColumn>
    <tableColumn id="6" xr3:uid="{EA61AB0C-3EBA-4B7B-A149-F08429B359F5}" name="Avg Buy Price">
      <calculatedColumnFormula>IFERROR(SUMIFS(Table2[[#This Row],[Total Cost ]],Table2[[#This Row],[Ticker]],' Holdings sheet'!A2,Table2[[#This Row],[Action]],"BUY")/SUMIFS(Table2[[#This Row],[Quantity]],Table2[[#This Row],[Ticker]],' Holdings sheet'!A2,Table2[[#This Row],[Action]],"BUY"),0)</calculatedColumnFormula>
    </tableColumn>
    <tableColumn id="7" xr3:uid="{FB4DF795-515E-42B0-A8E4-39408F6AE386}" name="Current Price ₹" dataDxfId="30">
      <calculatedColumnFormula>_xlfn.XLOOKUP(A2,tblMarketdata[[#This Row],[Ticker   ]],tblMarketdata[[#This Row],[Current price (rs.)]],0)</calculatedColumnFormula>
    </tableColumn>
    <tableColumn id="8" xr3:uid="{32EE65DE-4F50-4D5F-A830-125FD699295C}" name="Total Cost ₹" totalsRowFunction="sum" dataDxfId="29" totalsRowDxfId="28">
      <calculatedColumnFormula>E2*F2</calculatedColumnFormula>
    </tableColumn>
    <tableColumn id="9" xr3:uid="{878B6A9C-1EE7-442C-B65B-A289A240E7B9}" name="Current Value ₹" totalsRowFunction="sum" dataDxfId="27" totalsRowDxfId="26">
      <calculatedColumnFormula>E2*G2</calculatedColumnFormula>
    </tableColumn>
    <tableColumn id="10" xr3:uid="{C4880938-B967-459A-836F-37851AD41F15}" name="Unrealised P&amp;L ₹" totalsRowFunction="sum" dataDxfId="25" totalsRowDxfId="24">
      <calculatedColumnFormula>I2-H2</calculatedColumnFormula>
    </tableColumn>
    <tableColumn id="11" xr3:uid="{FE11B5F9-E638-4E1A-89A8-3B7F85FCBBA4}" name="Return %" dataDxfId="23">
      <calculatedColumnFormula>IFERROR((I2-H2)/H2,0)</calculatedColumnFormula>
    </tableColumn>
    <tableColumn id="12" xr3:uid="{590AB84F-56A5-44F5-94FC-F2D5F2CA101A}" name="Portfolio Weight %" dataDxfId="22">
      <calculatedColumnFormula>IFERROR(I2/SUM($I$2:$I$11),0)</calculatedColumnFormula>
    </tableColumn>
    <tableColumn id="13" xr3:uid="{9EA35022-F519-4CB2-9C7F-7FDBCAA3C4C4}" name="Day Change ₹" totalsRowFunction="sum" dataDxfId="21">
      <calculatedColumnFormula>_xlfn.XLOOKUP(A2,tblMarketdata[[#This Row],[Ticker   ]],tblMarketdata[[#This Row],[Day change (%)]],0)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3EAABC7-6591-40B1-AD62-041CFFDFAF99}" name="tblMarketdata" displayName="tblMarketdata" ref="A1:L16" totalsRowShown="0" headerRowDxfId="20">
  <autoFilter ref="A1:L16" xr:uid="{F3EAABC7-6591-40B1-AD62-041CFFDFAF99}"/>
  <tableColumns count="12">
    <tableColumn id="1" xr3:uid="{0C90298E-0CA2-464B-9B34-A8E46AFE0C30}" name="Ticker   " dataDxfId="19"/>
    <tableColumn id="2" xr3:uid="{F7EE273B-6601-4C2B-9746-3550E2D19AEC}" name="Company Name "/>
    <tableColumn id="3" xr3:uid="{E5CE2053-0A51-41C6-B4DA-A6143BF2DFCB}" name="Sector"/>
    <tableColumn id="4" xr3:uid="{CCECBB65-FC29-42D7-BA98-7B77CC7CF644}" name="Indutstry "/>
    <tableColumn id="5" xr3:uid="{7324D444-0B02-4B93-83C3-37602000BF0D}" name="Asset Type"/>
    <tableColumn id="6" xr3:uid="{916353A2-C8D7-4AAD-B3FB-CB5EAC1B9305}" name="Current price (rs.)" dataDxfId="18"/>
    <tableColumn id="7" xr3:uid="{9878FCF4-DD9A-4254-B33A-FCDAFD565F01}" name="Previous Close" dataDxfId="17"/>
    <tableColumn id="8" xr3:uid="{E49E5FDF-16E7-408E-A548-92B0A7815382}" name="Day change (rs.)" dataDxfId="16">
      <calculatedColumnFormula>F2-G2</calculatedColumnFormula>
    </tableColumn>
    <tableColumn id="9" xr3:uid="{D1F6C53D-471B-441D-93CD-B689215B48F4}" name="Day change (%)" dataDxfId="15">
      <calculatedColumnFormula>IFERROR((F2-G2)/G2,0)</calculatedColumnFormula>
    </tableColumn>
    <tableColumn id="10" xr3:uid="{10D277BF-BF72-4EC6-B315-D90E02E18EE0}" name="52W High " dataDxfId="14"/>
    <tableColumn id="11" xr3:uid="{CF2EDAFA-8D20-43E1-9405-D6E6A174595C}" name="52W Low" dataDxfId="13"/>
    <tableColumn id="12" xr3:uid="{46BD88A7-E29F-4E09-9E5D-2EC73538CC0D}" name="Last Updated" dataDxfId="12">
      <calculatedColumnFormula>IF(F2&lt;&gt;"",NOW(),"")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77EDC33-AB38-4E8A-A9FA-897BA17CE6B7}" name="Table4" displayName="Table4" ref="A1:J6" totalsRowShown="0" headerRowDxfId="6">
  <autoFilter ref="A1:J6" xr:uid="{777EDC33-AB38-4E8A-A9FA-897BA17CE6B7}"/>
  <tableColumns count="10">
    <tableColumn id="1" xr3:uid="{ACBAF619-328F-418A-8646-DE487849A43E}" name=" Symbol " dataDxfId="5"/>
    <tableColumn id="2" xr3:uid="{81EB8D0D-F1A2-499F-A206-BD59F9877C40}" name="Company Name"/>
    <tableColumn id="3" xr3:uid="{FEF33288-E7C1-4157-9AFB-E1AC17C84B5A}" name="Sector "/>
    <tableColumn id="4" xr3:uid="{AAD15448-4193-4246-AD5F-A896959BB60E}" name="Current Price ₹" dataDxfId="4">
      <calculatedColumnFormula>_xlfn.XLOOKUP(A2,'Market Data'!A:A,'Market Data'!F:F,0)</calculatedColumnFormula>
    </tableColumn>
    <tableColumn id="5" xr3:uid="{2AD97505-4221-4FA7-86A9-9B5EC3CEF2FE}" name="Target Price ₹" dataDxfId="3"/>
    <tableColumn id="6" xr3:uid="{8B1B43AA-496A-4C50-AF18-6CB4AAC5ED0C}" name="Upside %" dataDxfId="2">
      <calculatedColumnFormula>IFERROR((E2-D2)/D2,0)</calculatedColumnFormula>
    </tableColumn>
    <tableColumn id="7" xr3:uid="{FA51EB43-387F-42E9-A69D-2D46C8FD6753}" name="52W High" dataDxfId="1"/>
    <tableColumn id="8" xr3:uid="{AB919AFE-004E-43A7-A81E-F7F9D5B057E4}" name="52W Low" dataDxfId="0"/>
    <tableColumn id="9" xr3:uid="{07CD6412-BA5B-41D0-92B6-8ABD051D443C}" name="Notes"/>
    <tableColumn id="10" xr3:uid="{53B589A1-8BAE-4A7C-9817-D4D4BB40F44F}" name="Status">
      <calculatedColumnFormula>IF(D2&lt;=E2,"BUY ZONE","WAIT")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D70C9E-682F-471C-B978-AB4B7AE5E418}">
  <sheetPr codeName="Sheet2"/>
  <dimension ref="A1:N13"/>
  <sheetViews>
    <sheetView workbookViewId="0">
      <pane ySplit="1" topLeftCell="A2" activePane="bottomLeft" state="frozen"/>
      <selection pane="bottomLeft"/>
    </sheetView>
  </sheetViews>
  <sheetFormatPr defaultColWidth="15.6328125" defaultRowHeight="14.5" x14ac:dyDescent="0.35"/>
  <cols>
    <col min="2" max="2" width="15.6328125" style="5"/>
    <col min="4" max="4" width="16.08984375" customWidth="1"/>
  </cols>
  <sheetData>
    <row r="1" spans="1:14" s="2" customFormat="1" ht="20" customHeight="1" x14ac:dyDescent="0.35">
      <c r="A1" s="2" t="s">
        <v>45</v>
      </c>
      <c r="B1" s="6" t="s">
        <v>46</v>
      </c>
      <c r="C1" s="2" t="s">
        <v>47</v>
      </c>
      <c r="D1" s="2" t="s">
        <v>48</v>
      </c>
      <c r="E1" s="2" t="s">
        <v>49</v>
      </c>
      <c r="F1" s="2" t="s">
        <v>1</v>
      </c>
      <c r="G1" s="2" t="s">
        <v>50</v>
      </c>
      <c r="H1" s="2" t="s">
        <v>51</v>
      </c>
      <c r="I1" s="2" t="s">
        <v>70</v>
      </c>
      <c r="J1" s="2" t="s">
        <v>71</v>
      </c>
      <c r="K1" s="2" t="s">
        <v>72</v>
      </c>
      <c r="L1" s="2" t="s">
        <v>73</v>
      </c>
      <c r="M1" s="2" t="s">
        <v>74</v>
      </c>
      <c r="N1" s="2" t="s">
        <v>52</v>
      </c>
    </row>
    <row r="2" spans="1:14" x14ac:dyDescent="0.35">
      <c r="A2" s="1" t="s">
        <v>53</v>
      </c>
      <c r="B2" s="7">
        <v>45292</v>
      </c>
      <c r="C2" s="8" t="s">
        <v>10</v>
      </c>
      <c r="D2" s="8" t="s">
        <v>11</v>
      </c>
      <c r="E2" s="8" t="s">
        <v>14</v>
      </c>
      <c r="F2" t="s">
        <v>12</v>
      </c>
      <c r="G2" t="s">
        <v>54</v>
      </c>
      <c r="H2">
        <v>50</v>
      </c>
      <c r="I2" s="4">
        <v>2450</v>
      </c>
      <c r="J2" s="4">
        <v>20</v>
      </c>
      <c r="K2" s="4">
        <v>5</v>
      </c>
      <c r="L2" s="4">
        <v>0</v>
      </c>
      <c r="M2" s="4">
        <f t="shared" ref="M2:M13" si="0">IF(G2="BUY",(H2*I2)+J2+K2,IF(G2="SELL",(H2*I2)-J2-K2,0))</f>
        <v>122525</v>
      </c>
      <c r="N2" s="8" t="s">
        <v>55</v>
      </c>
    </row>
    <row r="3" spans="1:14" x14ac:dyDescent="0.35">
      <c r="A3" s="1" t="s">
        <v>56</v>
      </c>
      <c r="B3" s="7">
        <v>45306</v>
      </c>
      <c r="C3" s="8" t="s">
        <v>15</v>
      </c>
      <c r="D3" s="8" t="s">
        <v>57</v>
      </c>
      <c r="E3" s="8" t="s">
        <v>14</v>
      </c>
      <c r="F3" t="s">
        <v>17</v>
      </c>
      <c r="G3" t="s">
        <v>54</v>
      </c>
      <c r="H3">
        <v>30</v>
      </c>
      <c r="I3" s="4">
        <v>3800</v>
      </c>
      <c r="J3" s="4">
        <v>20</v>
      </c>
      <c r="K3" s="4">
        <v>5</v>
      </c>
      <c r="L3" s="4">
        <v>0</v>
      </c>
      <c r="M3" s="4">
        <f t="shared" si="0"/>
        <v>114025</v>
      </c>
      <c r="N3" s="8" t="s">
        <v>55</v>
      </c>
    </row>
    <row r="4" spans="1:14" x14ac:dyDescent="0.35">
      <c r="A4" s="1" t="s">
        <v>58</v>
      </c>
      <c r="B4" s="7">
        <v>45323</v>
      </c>
      <c r="C4" s="8" t="s">
        <v>19</v>
      </c>
      <c r="D4" s="8" t="s">
        <v>20</v>
      </c>
      <c r="E4" s="8" t="s">
        <v>14</v>
      </c>
      <c r="F4" t="s">
        <v>17</v>
      </c>
      <c r="G4" t="s">
        <v>54</v>
      </c>
      <c r="H4">
        <v>75</v>
      </c>
      <c r="I4" s="4">
        <v>1450</v>
      </c>
      <c r="J4" s="4">
        <v>20</v>
      </c>
      <c r="K4" s="4">
        <v>5</v>
      </c>
      <c r="L4" s="4">
        <v>0</v>
      </c>
      <c r="M4" s="4">
        <f t="shared" si="0"/>
        <v>108775</v>
      </c>
      <c r="N4" s="8" t="s">
        <v>55</v>
      </c>
    </row>
    <row r="5" spans="1:14" x14ac:dyDescent="0.35">
      <c r="A5" s="1" t="s">
        <v>59</v>
      </c>
      <c r="B5" s="7">
        <v>45337</v>
      </c>
      <c r="C5" s="8" t="s">
        <v>21</v>
      </c>
      <c r="D5" s="8" t="s">
        <v>22</v>
      </c>
      <c r="E5" s="8" t="s">
        <v>14</v>
      </c>
      <c r="F5" t="s">
        <v>23</v>
      </c>
      <c r="G5" t="s">
        <v>54</v>
      </c>
      <c r="H5">
        <v>40</v>
      </c>
      <c r="I5" s="4">
        <v>1620</v>
      </c>
      <c r="J5" s="4">
        <v>20</v>
      </c>
      <c r="K5" s="4">
        <v>5</v>
      </c>
      <c r="L5" s="4">
        <v>0</v>
      </c>
      <c r="M5" s="4">
        <f t="shared" si="0"/>
        <v>64825</v>
      </c>
      <c r="N5" s="8" t="s">
        <v>55</v>
      </c>
    </row>
    <row r="6" spans="1:14" x14ac:dyDescent="0.35">
      <c r="A6" s="1" t="s">
        <v>60</v>
      </c>
      <c r="B6" s="7">
        <v>45352</v>
      </c>
      <c r="C6" s="8" t="s">
        <v>25</v>
      </c>
      <c r="D6" s="8" t="s">
        <v>26</v>
      </c>
      <c r="E6" s="8" t="s">
        <v>14</v>
      </c>
      <c r="F6" t="s">
        <v>27</v>
      </c>
      <c r="G6" t="s">
        <v>54</v>
      </c>
      <c r="H6">
        <v>60</v>
      </c>
      <c r="I6" s="4">
        <v>850</v>
      </c>
      <c r="J6" s="4">
        <v>20</v>
      </c>
      <c r="K6" s="4">
        <v>5</v>
      </c>
      <c r="L6" s="4">
        <v>0</v>
      </c>
      <c r="M6" s="4">
        <f t="shared" si="0"/>
        <v>51025</v>
      </c>
      <c r="N6" s="8" t="s">
        <v>55</v>
      </c>
    </row>
    <row r="7" spans="1:14" x14ac:dyDescent="0.35">
      <c r="A7" s="1" t="s">
        <v>61</v>
      </c>
      <c r="B7" s="7">
        <v>45366</v>
      </c>
      <c r="C7" s="8" t="s">
        <v>29</v>
      </c>
      <c r="D7" s="8" t="s">
        <v>30</v>
      </c>
      <c r="E7" s="8" t="s">
        <v>14</v>
      </c>
      <c r="F7" t="s">
        <v>31</v>
      </c>
      <c r="G7" t="s">
        <v>54</v>
      </c>
      <c r="H7">
        <v>25</v>
      </c>
      <c r="I7" s="4">
        <v>1550</v>
      </c>
      <c r="J7" s="4">
        <v>20</v>
      </c>
      <c r="K7" s="4">
        <v>5</v>
      </c>
      <c r="L7" s="4">
        <v>0</v>
      </c>
      <c r="M7" s="4">
        <f t="shared" si="0"/>
        <v>38775</v>
      </c>
      <c r="N7" s="8" t="s">
        <v>55</v>
      </c>
    </row>
    <row r="8" spans="1:14" x14ac:dyDescent="0.35">
      <c r="A8" s="1" t="s">
        <v>62</v>
      </c>
      <c r="B8" s="7">
        <v>45383</v>
      </c>
      <c r="C8" s="8" t="s">
        <v>33</v>
      </c>
      <c r="D8" s="8" t="s">
        <v>34</v>
      </c>
      <c r="E8" s="8" t="s">
        <v>14</v>
      </c>
      <c r="F8" t="s">
        <v>23</v>
      </c>
      <c r="G8" t="s">
        <v>54</v>
      </c>
      <c r="H8">
        <v>15</v>
      </c>
      <c r="I8" s="4">
        <v>6800</v>
      </c>
      <c r="J8" s="4">
        <v>20</v>
      </c>
      <c r="K8" s="4">
        <v>5</v>
      </c>
      <c r="L8" s="4">
        <v>0</v>
      </c>
      <c r="M8" s="4">
        <f t="shared" si="0"/>
        <v>102025</v>
      </c>
      <c r="N8" s="8" t="s">
        <v>55</v>
      </c>
    </row>
    <row r="9" spans="1:14" x14ac:dyDescent="0.35">
      <c r="A9" s="1" t="s">
        <v>63</v>
      </c>
      <c r="B9" s="7">
        <v>45397</v>
      </c>
      <c r="C9" s="8" t="s">
        <v>36</v>
      </c>
      <c r="D9" s="8" t="s">
        <v>37</v>
      </c>
      <c r="E9" s="8" t="s">
        <v>14</v>
      </c>
      <c r="F9" t="s">
        <v>17</v>
      </c>
      <c r="G9" t="s">
        <v>54</v>
      </c>
      <c r="H9">
        <v>100</v>
      </c>
      <c r="I9" s="4">
        <v>480</v>
      </c>
      <c r="J9" s="4">
        <v>20</v>
      </c>
      <c r="K9" s="4">
        <v>5</v>
      </c>
      <c r="L9" s="4">
        <v>0</v>
      </c>
      <c r="M9" s="4">
        <f t="shared" si="0"/>
        <v>48025</v>
      </c>
      <c r="N9" s="8" t="s">
        <v>55</v>
      </c>
    </row>
    <row r="10" spans="1:14" x14ac:dyDescent="0.35">
      <c r="A10" s="1" t="s">
        <v>64</v>
      </c>
      <c r="B10" s="7">
        <v>45413</v>
      </c>
      <c r="C10" s="8" t="s">
        <v>38</v>
      </c>
      <c r="D10" s="8" t="s">
        <v>39</v>
      </c>
      <c r="E10" s="8" t="s">
        <v>14</v>
      </c>
      <c r="F10" t="s">
        <v>17</v>
      </c>
      <c r="G10" t="s">
        <v>54</v>
      </c>
      <c r="H10">
        <v>10</v>
      </c>
      <c r="I10" s="4">
        <v>21500</v>
      </c>
      <c r="J10" s="4">
        <v>20</v>
      </c>
      <c r="K10" s="4">
        <v>5</v>
      </c>
      <c r="L10" s="4">
        <v>0</v>
      </c>
      <c r="M10" s="4">
        <f t="shared" si="0"/>
        <v>215025</v>
      </c>
      <c r="N10" s="8" t="s">
        <v>65</v>
      </c>
    </row>
    <row r="11" spans="1:14" x14ac:dyDescent="0.35">
      <c r="A11" s="1" t="s">
        <v>66</v>
      </c>
      <c r="B11" s="7">
        <v>45427</v>
      </c>
      <c r="C11" s="8" t="s">
        <v>41</v>
      </c>
      <c r="D11" s="8" t="s">
        <v>42</v>
      </c>
      <c r="E11" s="8" t="s">
        <v>14</v>
      </c>
      <c r="F11" t="s">
        <v>17</v>
      </c>
      <c r="G11" t="s">
        <v>54</v>
      </c>
      <c r="H11">
        <v>8</v>
      </c>
      <c r="I11" s="4">
        <v>35000</v>
      </c>
      <c r="J11" s="4">
        <v>20</v>
      </c>
      <c r="K11" s="4">
        <v>5</v>
      </c>
      <c r="L11" s="4">
        <v>0</v>
      </c>
      <c r="M11" s="4">
        <f t="shared" si="0"/>
        <v>280025</v>
      </c>
      <c r="N11" s="8" t="s">
        <v>65</v>
      </c>
    </row>
    <row r="12" spans="1:14" x14ac:dyDescent="0.35">
      <c r="A12" s="1" t="s">
        <v>67</v>
      </c>
      <c r="B12" s="7">
        <v>45444</v>
      </c>
      <c r="C12" s="8" t="s">
        <v>10</v>
      </c>
      <c r="D12" s="8" t="s">
        <v>11</v>
      </c>
      <c r="E12" s="8" t="s">
        <v>14</v>
      </c>
      <c r="F12" t="s">
        <v>12</v>
      </c>
      <c r="G12" t="s">
        <v>54</v>
      </c>
      <c r="H12">
        <v>25</v>
      </c>
      <c r="I12" s="4">
        <v>2600</v>
      </c>
      <c r="J12" s="4">
        <v>20</v>
      </c>
      <c r="K12" s="4">
        <v>5</v>
      </c>
      <c r="L12" s="4">
        <v>500</v>
      </c>
      <c r="M12" s="4">
        <f t="shared" si="0"/>
        <v>65025</v>
      </c>
      <c r="N12" s="8" t="s">
        <v>68</v>
      </c>
    </row>
    <row r="13" spans="1:14" x14ac:dyDescent="0.35">
      <c r="A13" s="1" t="s">
        <v>69</v>
      </c>
      <c r="B13" s="7">
        <v>45458</v>
      </c>
      <c r="C13" s="8" t="s">
        <v>15</v>
      </c>
      <c r="D13" s="8" t="s">
        <v>57</v>
      </c>
      <c r="E13" s="8" t="s">
        <v>14</v>
      </c>
      <c r="F13" t="s">
        <v>17</v>
      </c>
      <c r="G13" t="s">
        <v>54</v>
      </c>
      <c r="H13">
        <v>15</v>
      </c>
      <c r="I13" s="4">
        <v>3750</v>
      </c>
      <c r="J13" s="4">
        <v>20</v>
      </c>
      <c r="K13" s="4">
        <v>5</v>
      </c>
      <c r="L13" s="4">
        <v>300</v>
      </c>
      <c r="M13" s="4">
        <f t="shared" si="0"/>
        <v>56275</v>
      </c>
      <c r="N13" s="8" t="s">
        <v>68</v>
      </c>
    </row>
  </sheetData>
  <conditionalFormatting sqref="G1:G1048576">
    <cfRule type="cellIs" dxfId="53" priority="1" operator="equal">
      <formula>"DIVIDEND"</formula>
    </cfRule>
    <cfRule type="cellIs" dxfId="52" priority="2" operator="equal">
      <formula>"SELL"</formula>
    </cfRule>
    <cfRule type="cellIs" dxfId="51" priority="3" operator="equal">
      <formula>"BUY"</formula>
    </cfRule>
  </conditionalFormatting>
  <dataValidations count="3">
    <dataValidation type="list" allowBlank="1" showInputMessage="1" showErrorMessage="1" sqref="G1:G1048576" xr:uid="{F7D54594-08C9-44B3-8B3D-408C0EA9E68C}">
      <formula1>"BUY,SELL,DIVIDEND"</formula1>
    </dataValidation>
    <dataValidation type="list" allowBlank="1" showInputMessage="1" showErrorMessage="1" sqref="E1:E1048576" xr:uid="{FF993B49-E99F-4988-9370-938DD194C37A}">
      <formula1>"Equity,Mutual Fund,ETF,Bond,Gold,Cash"</formula1>
    </dataValidation>
    <dataValidation type="list" allowBlank="1" showInputMessage="1" showErrorMessage="1" sqref="F1:F1048576" xr:uid="{132D842B-2CB6-4DFD-940A-6579BD51A27D}">
      <formula1>"Technology,Financial,Energy,Healthcare,Automobile,Consumer,Infrastructure,Pharma,Other"</formula1>
    </dataValidation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2F8E75-8E95-4E6E-86F6-85AC063F05B9}">
  <sheetPr codeName="Sheet10"/>
  <dimension ref="A1:C8"/>
  <sheetViews>
    <sheetView workbookViewId="0">
      <selection activeCell="C7" sqref="C7"/>
    </sheetView>
  </sheetViews>
  <sheetFormatPr defaultRowHeight="14.5" x14ac:dyDescent="0.35"/>
  <cols>
    <col min="1" max="1" width="17.453125" customWidth="1"/>
    <col min="2" max="2" width="17.90625" customWidth="1"/>
  </cols>
  <sheetData>
    <row r="1" spans="1:3" x14ac:dyDescent="0.35">
      <c r="A1" s="36" t="s">
        <v>147</v>
      </c>
      <c r="B1" s="36"/>
      <c r="C1" s="36"/>
    </row>
    <row r="3" spans="1:3" x14ac:dyDescent="0.35">
      <c r="A3" s="1" t="s">
        <v>148</v>
      </c>
      <c r="B3" s="32" t="s">
        <v>149</v>
      </c>
    </row>
    <row r="4" spans="1:3" x14ac:dyDescent="0.35">
      <c r="A4" s="1" t="s">
        <v>103</v>
      </c>
      <c r="B4" s="32">
        <v>7.0000000000000007E-2</v>
      </c>
    </row>
    <row r="5" spans="1:3" x14ac:dyDescent="0.35">
      <c r="A5" s="1" t="s">
        <v>150</v>
      </c>
      <c r="B5" s="32">
        <v>83.5</v>
      </c>
    </row>
    <row r="6" spans="1:3" x14ac:dyDescent="0.35">
      <c r="A6" s="1" t="s">
        <v>151</v>
      </c>
      <c r="B6" s="32" t="s">
        <v>152</v>
      </c>
    </row>
    <row r="7" spans="1:3" x14ac:dyDescent="0.35">
      <c r="A7" s="1" t="s">
        <v>153</v>
      </c>
      <c r="B7" s="32">
        <v>0.8</v>
      </c>
    </row>
    <row r="8" spans="1:3" x14ac:dyDescent="0.35">
      <c r="A8" s="1" t="s">
        <v>154</v>
      </c>
      <c r="B8" s="32" t="s">
        <v>155</v>
      </c>
    </row>
  </sheetData>
  <mergeCells count="1">
    <mergeCell ref="A1:C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E9BB7-8CF8-4194-AEC7-04D449780231}">
  <sheetPr codeName="Sheet3"/>
  <dimension ref="A1:M14"/>
  <sheetViews>
    <sheetView zoomScale="84" workbookViewId="0">
      <selection activeCell="M13" sqref="M13"/>
    </sheetView>
  </sheetViews>
  <sheetFormatPr defaultRowHeight="14.5" x14ac:dyDescent="0.35"/>
  <cols>
    <col min="2" max="2" width="16.54296875" customWidth="1"/>
    <col min="4" max="4" width="11.81640625" customWidth="1"/>
    <col min="5" max="5" width="12.6328125" customWidth="1"/>
    <col min="6" max="6" width="13.90625" customWidth="1"/>
    <col min="7" max="7" width="15.26953125" customWidth="1"/>
    <col min="8" max="8" width="12.7265625" customWidth="1"/>
    <col min="9" max="9" width="15.90625" customWidth="1"/>
    <col min="10" max="10" width="17" customWidth="1"/>
    <col min="11" max="11" width="10.453125" customWidth="1"/>
    <col min="12" max="12" width="18.54296875" customWidth="1"/>
    <col min="13" max="13" width="14.08984375" customWidth="1"/>
  </cols>
  <sheetData>
    <row r="1" spans="1:13" ht="20" customHeight="1" x14ac:dyDescent="0.35">
      <c r="A1" s="9" t="s">
        <v>47</v>
      </c>
      <c r="B1" s="9" t="s">
        <v>0</v>
      </c>
      <c r="C1" s="9" t="s">
        <v>75</v>
      </c>
      <c r="D1" s="9" t="s">
        <v>49</v>
      </c>
      <c r="E1" s="9" t="s">
        <v>76</v>
      </c>
      <c r="F1" s="9" t="s">
        <v>77</v>
      </c>
      <c r="G1" s="9" t="s">
        <v>78</v>
      </c>
      <c r="H1" s="9" t="s">
        <v>79</v>
      </c>
      <c r="I1" s="9" t="s">
        <v>80</v>
      </c>
      <c r="J1" s="9" t="s">
        <v>81</v>
      </c>
      <c r="K1" s="9" t="s">
        <v>82</v>
      </c>
      <c r="L1" s="9" t="s">
        <v>83</v>
      </c>
      <c r="M1" s="9" t="s">
        <v>84</v>
      </c>
    </row>
    <row r="2" spans="1:13" x14ac:dyDescent="0.35">
      <c r="A2" s="10" t="s">
        <v>10</v>
      </c>
      <c r="B2" s="11" t="str">
        <f>_xlfn.XLOOKUP(A2,tblMarketdata[[#This Row],[Ticker   ]],tblMarketdata[[#This Row],[Company Name ]],"Not Found")</f>
        <v>Reliance Industries</v>
      </c>
      <c r="C2" t="str">
        <f>_xlfn.XLOOKUP(A2,tblMarketdata[[#This Row],[Ticker   ]],tblMarketdata[[#This Row],[Sector]],"Not Found")</f>
        <v>Energy</v>
      </c>
      <c r="D2" t="str">
        <f>_xlfn.XLOOKUP(A2,tblMarketdata[[#This Row],[Ticker   ]],tblMarketdata[[#This Row],[Asset Type]],"Not Found")</f>
        <v>Equity</v>
      </c>
      <c r="E2" s="4">
        <f>SUMIFS(Table2[[#This Row],[Quantity]],Table2[[#This Row],[Ticker]],' Holdings sheet'!A2,Table2[[#This Row],[Action]],"BUY")-SUMIFS(Table2[[#This Row],[Quantity]],Table2[[#This Row],[Ticker]],' Holdings sheet'!A2,Table2[[#This Row],[Action]],"SELL")</f>
        <v>50</v>
      </c>
      <c r="F2" s="11">
        <f>IFERROR(SUMIFS(Table2[[#This Row],[Total Cost ]],Table2[[#This Row],[Ticker]],' Holdings sheet'!A2,Table2[[#This Row],[Action]],"BUY")/SUMIFS(Table2[[#This Row],[Quantity]],Table2[[#This Row],[Ticker]],' Holdings sheet'!A2,Table2[[#This Row],[Action]],"BUY"),0)</f>
        <v>2450.5</v>
      </c>
      <c r="G2" s="4">
        <f>_xlfn.XLOOKUP(A2,tblMarketdata[[#This Row],[Ticker   ]],tblMarketdata[[#This Row],[Current price (rs.)]],0)</f>
        <v>1292.9000000000001</v>
      </c>
      <c r="H2" s="4">
        <f>E2*F2</f>
        <v>122525</v>
      </c>
      <c r="I2" s="4">
        <f>E2*G2</f>
        <v>64645.000000000007</v>
      </c>
      <c r="J2" s="4">
        <f>I2-H2</f>
        <v>-57879.999999999993</v>
      </c>
      <c r="K2" s="3">
        <f>IFERROR((I2-H2)/H2,0)</f>
        <v>-0.47239338910426437</v>
      </c>
      <c r="L2" s="3">
        <f>IFERROR(I2/SUM($I$2:$I$11),0)</f>
        <v>0.16608193084085837</v>
      </c>
      <c r="M2" s="3">
        <f>_xlfn.XLOOKUP(A2,tblMarketdata[[#This Row],[Ticker   ]],tblMarketdata[[#This Row],[Day change (%)]],0)</f>
        <v>1.3323928207539774E-2</v>
      </c>
    </row>
    <row r="3" spans="1:13" x14ac:dyDescent="0.35">
      <c r="A3" s="10" t="s">
        <v>15</v>
      </c>
      <c r="B3" s="11" t="str">
        <f>_xlfn.XLOOKUP(A3,tblMarketdata[[#This Row],[Ticker   ]],tblMarketdata[[#This Row],[Company Name ]],"Not Found")</f>
        <v>Tata Consultancy Serv.</v>
      </c>
      <c r="C3" t="str">
        <f>_xlfn.XLOOKUP(A3,tblMarketdata[[#This Row],[Ticker   ]],tblMarketdata[[#This Row],[Sector]],"Not Found")</f>
        <v>Technology</v>
      </c>
      <c r="D3" t="str">
        <f>_xlfn.XLOOKUP(A3,tblMarketdata[[#This Row],[Ticker   ]],tblMarketdata[[#This Row],[Asset Type]],"Not Found")</f>
        <v>Equity</v>
      </c>
      <c r="E3" s="4">
        <f>SUMIFS(Table2[[#This Row],[Quantity]],Table2[[#This Row],[Ticker]],' Holdings sheet'!A3,Table2[[#This Row],[Action]],"BUY")-SUMIFS(Table2[[#This Row],[Quantity]],Table2[[#This Row],[Ticker]],' Holdings sheet'!A3,Table2[[#This Row],[Action]],"SELL")</f>
        <v>30</v>
      </c>
      <c r="F3" s="11">
        <f>IFERROR(SUMIFS(Table2[[#This Row],[Total Cost ]],Table2[[#This Row],[Ticker]],' Holdings sheet'!A3,Table2[[#This Row],[Action]],"BUY")/SUMIFS(Table2[[#This Row],[Quantity]],Table2[[#This Row],[Ticker]],' Holdings sheet'!A3,Table2[[#This Row],[Action]],"BUY"),0)</f>
        <v>3800.8333333333335</v>
      </c>
      <c r="G3" s="4">
        <f>_xlfn.XLOOKUP(A3,tblMarketdata[[#This Row],[Ticker   ]],tblMarketdata[[#This Row],[Current price (rs.)]],0)</f>
        <v>2431.8000000000002</v>
      </c>
      <c r="H3" s="4">
        <f t="shared" ref="H3:H11" si="0">E3*F3</f>
        <v>114025</v>
      </c>
      <c r="I3" s="4">
        <f t="shared" ref="I3:I11" si="1">E3*G3</f>
        <v>72954</v>
      </c>
      <c r="J3" s="4">
        <f t="shared" ref="J3:J11" si="2">I3-H3</f>
        <v>-41071</v>
      </c>
      <c r="K3" s="3">
        <f t="shared" ref="K3:K11" si="3">IFERROR((I3-H3)/H3,0)</f>
        <v>-0.3601929401447051</v>
      </c>
      <c r="L3" s="3">
        <f t="shared" ref="L3:L11" si="4">IFERROR(I3/SUM($I$2:$I$11),0)</f>
        <v>0.18742889910378188</v>
      </c>
      <c r="M3" s="3">
        <f>_xlfn.XLOOKUP(A3,tblMarketdata[[#This Row],[Ticker   ]],tblMarketdata[[#This Row],[Day change (%)]],0)</f>
        <v>-6.0492111501674684E-3</v>
      </c>
    </row>
    <row r="4" spans="1:13" x14ac:dyDescent="0.35">
      <c r="A4" s="10" t="s">
        <v>19</v>
      </c>
      <c r="B4" s="11" t="str">
        <f>_xlfn.XLOOKUP(A4,tblMarketdata[[#This Row],[Ticker   ]],tblMarketdata[[#This Row],[Company Name ]],"Not Found")</f>
        <v>Infosys Ltd</v>
      </c>
      <c r="C4" t="str">
        <f>_xlfn.XLOOKUP(A4,tblMarketdata[[#This Row],[Ticker   ]],tblMarketdata[[#This Row],[Sector]],"Not Found")</f>
        <v>Technology</v>
      </c>
      <c r="D4" t="str">
        <f>_xlfn.XLOOKUP(A4,tblMarketdata[[#This Row],[Ticker   ]],tblMarketdata[[#This Row],[Asset Type]],"Not Found")</f>
        <v>Equity</v>
      </c>
      <c r="E4" s="4">
        <f>SUMIFS(Table2[[#This Row],[Quantity]],Table2[[#This Row],[Ticker]],' Holdings sheet'!A4,Table2[[#This Row],[Action]],"BUY")-SUMIFS(Table2[[#This Row],[Quantity]],Table2[[#This Row],[Ticker]],' Holdings sheet'!A4,Table2[[#This Row],[Action]],"SELL")</f>
        <v>75</v>
      </c>
      <c r="F4" s="11">
        <f>IFERROR(SUMIFS(Table2[[#This Row],[Total Cost ]],Table2[[#This Row],[Ticker]],' Holdings sheet'!A4,Table2[[#This Row],[Action]],"BUY")/SUMIFS(Table2[[#This Row],[Quantity]],Table2[[#This Row],[Ticker]],' Holdings sheet'!A4,Table2[[#This Row],[Action]],"BUY"),0)</f>
        <v>1450.3333333333333</v>
      </c>
      <c r="G4" s="4">
        <f>_xlfn.XLOOKUP(A4,tblMarketdata[[#This Row],[Ticker   ]],tblMarketdata[[#This Row],[Current price (rs.)]],0)</f>
        <v>1155.0999999999999</v>
      </c>
      <c r="H4" s="4">
        <f t="shared" si="0"/>
        <v>108775</v>
      </c>
      <c r="I4" s="4">
        <f t="shared" si="1"/>
        <v>86632.5</v>
      </c>
      <c r="J4" s="4">
        <f t="shared" si="2"/>
        <v>-22142.5</v>
      </c>
      <c r="K4" s="3">
        <f t="shared" si="3"/>
        <v>-0.20356239944840265</v>
      </c>
      <c r="L4" s="3">
        <f t="shared" si="4"/>
        <v>0.22257085425896297</v>
      </c>
      <c r="M4" s="3">
        <f>_xlfn.XLOOKUP(A4,tblMarketdata[[#This Row],[Ticker   ]],tblMarketdata[[#This Row],[Day change (%)]],0)</f>
        <v>-4.3267566632052619E-4</v>
      </c>
    </row>
    <row r="5" spans="1:13" x14ac:dyDescent="0.35">
      <c r="A5" s="10" t="s">
        <v>21</v>
      </c>
      <c r="B5" s="11" t="str">
        <f>_xlfn.XLOOKUP(A5,tblMarketdata[[#This Row],[Ticker   ]],tblMarketdata[[#This Row],[Company Name ]],"Not Found")</f>
        <v>HDFC Bank Ltd</v>
      </c>
      <c r="C5" t="str">
        <f>_xlfn.XLOOKUP(A5,tblMarketdata[[#This Row],[Ticker   ]],tblMarketdata[[#This Row],[Sector]],"Not Found")</f>
        <v>Financial</v>
      </c>
      <c r="D5" t="str">
        <f>_xlfn.XLOOKUP(A5,tblMarketdata[[#This Row],[Ticker   ]],tblMarketdata[[#This Row],[Asset Type]],"Not Found")</f>
        <v>Equity</v>
      </c>
      <c r="E5" s="4">
        <f>SUMIFS(Table2[[#This Row],[Quantity]],Table2[[#This Row],[Ticker]],' Holdings sheet'!A5,Table2[[#This Row],[Action]],"BUY")-SUMIFS(Table2[[#This Row],[Quantity]],Table2[[#This Row],[Ticker]],' Holdings sheet'!A5,Table2[[#This Row],[Action]],"SELL")</f>
        <v>40</v>
      </c>
      <c r="F5" s="11">
        <f>IFERROR(SUMIFS(Table2[[#This Row],[Total Cost ]],Table2[[#This Row],[Ticker]],' Holdings sheet'!A5,Table2[[#This Row],[Action]],"BUY")/SUMIFS(Table2[[#This Row],[Quantity]],Table2[[#This Row],[Ticker]],' Holdings sheet'!A5,Table2[[#This Row],[Action]],"BUY"),0)</f>
        <v>1620.625</v>
      </c>
      <c r="G5" s="4">
        <f>_xlfn.XLOOKUP(A5,tblMarketdata[[#This Row],[Ticker   ]],tblMarketdata[[#This Row],[Current price (rs.)]],0)</f>
        <v>753.95</v>
      </c>
      <c r="H5" s="4">
        <f t="shared" si="0"/>
        <v>64825</v>
      </c>
      <c r="I5" s="4">
        <f t="shared" si="1"/>
        <v>30158</v>
      </c>
      <c r="J5" s="4">
        <f t="shared" si="2"/>
        <v>-34667</v>
      </c>
      <c r="K5" s="3">
        <f t="shared" si="3"/>
        <v>-0.53477824913227923</v>
      </c>
      <c r="L5" s="3">
        <f t="shared" si="4"/>
        <v>7.7480066057678182E-2</v>
      </c>
      <c r="M5" s="3">
        <f>_xlfn.XLOOKUP(A5,tblMarketdata[[#This Row],[Ticker   ]],tblMarketdata[[#This Row],[Day change (%)]],0)</f>
        <v>7.6851109329056401E-3</v>
      </c>
    </row>
    <row r="6" spans="1:13" x14ac:dyDescent="0.35">
      <c r="A6" s="10" t="s">
        <v>25</v>
      </c>
      <c r="B6" s="11" t="str">
        <f>_xlfn.XLOOKUP(A6,tblMarketdata[[#This Row],[Ticker   ]],tblMarketdata[[#This Row],[Company Name ]],"Not Found")</f>
        <v>Tata Motors Ltd</v>
      </c>
      <c r="C6" t="str">
        <f>_xlfn.XLOOKUP(A6,tblMarketdata[[#This Row],[Ticker   ]],tblMarketdata[[#This Row],[Sector]],"Not Found")</f>
        <v>Automobile</v>
      </c>
      <c r="D6" t="str">
        <f>_xlfn.XLOOKUP(A6,tblMarketdata[[#This Row],[Ticker   ]],tblMarketdata[[#This Row],[Asset Type]],"Not Found")</f>
        <v>Equity</v>
      </c>
      <c r="E6" s="4">
        <f>SUMIFS(Table2[[#This Row],[Quantity]],Table2[[#This Row],[Ticker]],' Holdings sheet'!A6,Table2[[#This Row],[Action]],"BUY")-SUMIFS(Table2[[#This Row],[Quantity]],Table2[[#This Row],[Ticker]],' Holdings sheet'!A6,Table2[[#This Row],[Action]],"SELL")</f>
        <v>60</v>
      </c>
      <c r="F6" s="11">
        <f>IFERROR(SUMIFS(Table2[[#This Row],[Total Cost ]],Table2[[#This Row],[Ticker]],' Holdings sheet'!A6,Table2[[#This Row],[Action]],"BUY")/SUMIFS(Table2[[#This Row],[Quantity]],Table2[[#This Row],[Ticker]],' Holdings sheet'!A6,Table2[[#This Row],[Action]],"BUY"),0)</f>
        <v>850.41666666666663</v>
      </c>
      <c r="G6" s="4">
        <f>_xlfn.XLOOKUP(A6,tblMarketdata[[#This Row],[Ticker   ]],tblMarketdata[[#This Row],[Current price (rs.)]],0)</f>
        <v>724</v>
      </c>
      <c r="H6" s="4">
        <f t="shared" si="0"/>
        <v>51025</v>
      </c>
      <c r="I6" s="4">
        <f t="shared" si="1"/>
        <v>43440</v>
      </c>
      <c r="J6" s="4">
        <f t="shared" si="2"/>
        <v>-7585</v>
      </c>
      <c r="K6" s="3">
        <f t="shared" si="3"/>
        <v>-0.14865262126408624</v>
      </c>
      <c r="L6" s="3">
        <f t="shared" si="4"/>
        <v>0.11160335796622919</v>
      </c>
      <c r="M6" s="3">
        <f>_xlfn.XLOOKUP(A6,tblMarketdata[[#This Row],[Ticker   ]],tblMarketdata[[#This Row],[Day change (%)]],0)</f>
        <v>1.9718309859154931E-2</v>
      </c>
    </row>
    <row r="7" spans="1:13" x14ac:dyDescent="0.35">
      <c r="A7" s="10" t="s">
        <v>29</v>
      </c>
      <c r="B7" s="11" t="str">
        <f>_xlfn.XLOOKUP(A7,tblMarketdata[[#This Row],[Ticker   ]],tblMarketdata[[#This Row],[Company Name ]],"Not Found")</f>
        <v>Sun Pharmaceutical</v>
      </c>
      <c r="C7" t="str">
        <f>_xlfn.XLOOKUP(A7,tblMarketdata[[#This Row],[Ticker   ]],tblMarketdata[[#This Row],[Sector]],"Not Found")</f>
        <v>Healthcare</v>
      </c>
      <c r="D7" t="str">
        <f>_xlfn.XLOOKUP(A7,tblMarketdata[[#This Row],[Ticker   ]],tblMarketdata[[#This Row],[Asset Type]],"Not Found")</f>
        <v>Equity</v>
      </c>
      <c r="E7" s="4">
        <f>SUMIFS(Table2[[#This Row],[Quantity]],Table2[[#This Row],[Ticker]],' Holdings sheet'!A7,Table2[[#This Row],[Action]],"BUY")-SUMIFS(Table2[[#This Row],[Quantity]],Table2[[#This Row],[Ticker]],' Holdings sheet'!A7,Table2[[#This Row],[Action]],"SELL")</f>
        <v>25</v>
      </c>
      <c r="F7" s="11">
        <f>IFERROR(SUMIFS(Table2[[#This Row],[Total Cost ]],Table2[[#This Row],[Ticker]],' Holdings sheet'!A7,Table2[[#This Row],[Action]],"BUY")/SUMIFS(Table2[[#This Row],[Quantity]],Table2[[#This Row],[Ticker]],' Holdings sheet'!A7,Table2[[#This Row],[Action]],"BUY"),0)</f>
        <v>1551</v>
      </c>
      <c r="G7" s="4">
        <f>_xlfn.XLOOKUP(A7,tblMarketdata[[#This Row],[Ticker   ]],tblMarketdata[[#This Row],[Current price (rs.)]],0)</f>
        <v>2001.1</v>
      </c>
      <c r="H7" s="4">
        <f t="shared" si="0"/>
        <v>38775</v>
      </c>
      <c r="I7" s="4">
        <f t="shared" si="1"/>
        <v>50027.5</v>
      </c>
      <c r="J7" s="4">
        <f t="shared" si="2"/>
        <v>11252.5</v>
      </c>
      <c r="K7" s="3">
        <f t="shared" si="3"/>
        <v>0.29019987105093487</v>
      </c>
      <c r="L7" s="3">
        <f t="shared" si="4"/>
        <v>0.12852755503350671</v>
      </c>
      <c r="M7" s="3">
        <f>_xlfn.XLOOKUP(A7,tblMarketdata[[#This Row],[Ticker   ]],tblMarketdata[[#This Row],[Day change (%)]],0)</f>
        <v>5.6284235388712085E-3</v>
      </c>
    </row>
    <row r="8" spans="1:13" x14ac:dyDescent="0.35">
      <c r="A8" s="10" t="s">
        <v>33</v>
      </c>
      <c r="B8" s="11" t="str">
        <f>_xlfn.XLOOKUP(A8,tblMarketdata[[#This Row],[Ticker   ]],tblMarketdata[[#This Row],[Company Name ]],"Not Found")</f>
        <v>Bajaj Finance Ltd</v>
      </c>
      <c r="C8" t="str">
        <f>_xlfn.XLOOKUP(A8,tblMarketdata[[#This Row],[Ticker   ]],tblMarketdata[[#This Row],[Sector]],"Not Found")</f>
        <v>Financial</v>
      </c>
      <c r="D8" t="str">
        <f>_xlfn.XLOOKUP(A8,tblMarketdata[[#This Row],[Ticker   ]],tblMarketdata[[#This Row],[Asset Type]],"Not Found")</f>
        <v>Equity</v>
      </c>
      <c r="E8" s="4">
        <f>SUMIFS(Table2[[#This Row],[Quantity]],Table2[[#This Row],[Ticker]],' Holdings sheet'!A8,Table2[[#This Row],[Action]],"BUY")-SUMIFS(Table2[[#This Row],[Quantity]],Table2[[#This Row],[Ticker]],' Holdings sheet'!A8,Table2[[#This Row],[Action]],"SELL")</f>
        <v>15</v>
      </c>
      <c r="F8" s="11">
        <f>IFERROR(SUMIFS(Table2[[#This Row],[Total Cost ]],Table2[[#This Row],[Ticker]],' Holdings sheet'!A8,Table2[[#This Row],[Action]],"BUY")/SUMIFS(Table2[[#This Row],[Quantity]],Table2[[#This Row],[Ticker]],' Holdings sheet'!A8,Table2[[#This Row],[Action]],"BUY"),0)</f>
        <v>6801.666666666667</v>
      </c>
      <c r="G8" s="4">
        <f>_xlfn.XLOOKUP(A8,tblMarketdata[[#This Row],[Ticker   ]],tblMarketdata[[#This Row],[Current price (rs.)]],0)</f>
        <v>1053.5</v>
      </c>
      <c r="H8" s="4">
        <f t="shared" si="0"/>
        <v>102025</v>
      </c>
      <c r="I8" s="4">
        <f t="shared" si="1"/>
        <v>15802.5</v>
      </c>
      <c r="J8" s="4">
        <f t="shared" si="2"/>
        <v>-86222.5</v>
      </c>
      <c r="K8" s="3">
        <f t="shared" si="3"/>
        <v>-0.84511149228130356</v>
      </c>
      <c r="L8" s="3">
        <f t="shared" si="4"/>
        <v>4.0598804425905549E-2</v>
      </c>
      <c r="M8" s="3">
        <f>_xlfn.XLOOKUP(A8,tblMarketdata[[#This Row],[Ticker   ]],tblMarketdata[[#This Row],[Day change (%)]],0)</f>
        <v>-8.5356600910479032E-4</v>
      </c>
    </row>
    <row r="9" spans="1:13" x14ac:dyDescent="0.35">
      <c r="A9" s="10" t="s">
        <v>36</v>
      </c>
      <c r="B9" s="11" t="str">
        <f>_xlfn.XLOOKUP(A9,tblMarketdata[[#This Row],[Ticker   ]],tblMarketdata[[#This Row],[Company Name ]],"Not Found")</f>
        <v>Wipro Ltd</v>
      </c>
      <c r="C9" t="str">
        <f>_xlfn.XLOOKUP(A9,tblMarketdata[[#This Row],[Ticker   ]],tblMarketdata[[#This Row],[Sector]],"Not Found")</f>
        <v>Technology</v>
      </c>
      <c r="D9" t="str">
        <f>_xlfn.XLOOKUP(A9,tblMarketdata[[#This Row],[Ticker   ]],tblMarketdata[[#This Row],[Asset Type]],"Not Found")</f>
        <v>Equity</v>
      </c>
      <c r="E9" s="4">
        <f>SUMIFS(Table2[[#This Row],[Quantity]],Table2[[#This Row],[Ticker]],' Holdings sheet'!A9,Table2[[#This Row],[Action]],"BUY")-SUMIFS(Table2[[#This Row],[Quantity]],Table2[[#This Row],[Ticker]],' Holdings sheet'!A9,Table2[[#This Row],[Action]],"SELL")</f>
        <v>100</v>
      </c>
      <c r="F9" s="11">
        <f>IFERROR(SUMIFS(Table2[[#This Row],[Total Cost ]],Table2[[#This Row],[Ticker]],' Holdings sheet'!A9,Table2[[#This Row],[Action]],"BUY")/SUMIFS(Table2[[#This Row],[Quantity]],Table2[[#This Row],[Ticker]],' Holdings sheet'!A9,Table2[[#This Row],[Action]],"BUY"),0)</f>
        <v>480.25</v>
      </c>
      <c r="G9" s="4">
        <f>_xlfn.XLOOKUP(A9,tblMarketdata[[#This Row],[Ticker   ]],tblMarketdata[[#This Row],[Current price (rs.)]],0)</f>
        <v>186.33</v>
      </c>
      <c r="H9" s="4">
        <f t="shared" si="0"/>
        <v>48025</v>
      </c>
      <c r="I9" s="4">
        <f t="shared" si="1"/>
        <v>18633</v>
      </c>
      <c r="J9" s="4">
        <f t="shared" si="2"/>
        <v>-29392</v>
      </c>
      <c r="K9" s="3">
        <f t="shared" si="3"/>
        <v>-0.61201457574180118</v>
      </c>
      <c r="L9" s="3">
        <f t="shared" si="4"/>
        <v>4.7870749746426078E-2</v>
      </c>
      <c r="M9" s="3">
        <f>_xlfn.XLOOKUP(A9,tblMarketdata[[#This Row],[Ticker   ]],tblMarketdata[[#This Row],[Day change (%)]],0)</f>
        <v>1.4814007951636614E-2</v>
      </c>
    </row>
    <row r="10" spans="1:13" x14ac:dyDescent="0.35">
      <c r="A10" s="10" t="s">
        <v>38</v>
      </c>
      <c r="B10" s="11" t="str">
        <f>_xlfn.XLOOKUP(A10,tblMarketdata[[#This Row],[Ticker   ]],tblMarketdata[[#This Row],[Company Name ]],"Not Found")</f>
        <v>Apple Inc</v>
      </c>
      <c r="C10" t="str">
        <f>_xlfn.XLOOKUP(A10,tblMarketdata[[#This Row],[Ticker   ]],tblMarketdata[[#This Row],[Sector]],"Not Found")</f>
        <v>Technology</v>
      </c>
      <c r="D10" t="str">
        <f>_xlfn.XLOOKUP(A10,tblMarketdata[[#This Row],[Ticker   ]],tblMarketdata[[#This Row],[Asset Type]],"Not Found")</f>
        <v>Equity</v>
      </c>
      <c r="E10" s="4">
        <f>SUMIFS(Table2[[#This Row],[Quantity]],Table2[[#This Row],[Ticker]],' Holdings sheet'!A10,Table2[[#This Row],[Action]],"BUY")-SUMIFS(Table2[[#This Row],[Quantity]],Table2[[#This Row],[Ticker]],' Holdings sheet'!A10,Table2[[#This Row],[Action]],"SELL")</f>
        <v>10</v>
      </c>
      <c r="F10" s="11">
        <f>IFERROR(SUMIFS(Table2[[#This Row],[Total Cost ]],Table2[[#This Row],[Ticker]],' Holdings sheet'!A10,Table2[[#This Row],[Action]],"BUY")/SUMIFS(Table2[[#This Row],[Quantity]],Table2[[#This Row],[Ticker]],' Holdings sheet'!A10,Table2[[#This Row],[Action]],"BUY"),0)</f>
        <v>21502.5</v>
      </c>
      <c r="G10" s="4">
        <f>_xlfn.XLOOKUP(A10,tblMarketdata[[#This Row],[Ticker   ]],tblMarketdata[[#This Row],[Current price (rs.)]],0)</f>
        <v>333.43</v>
      </c>
      <c r="H10" s="4">
        <f t="shared" si="0"/>
        <v>215025</v>
      </c>
      <c r="I10" s="4">
        <f t="shared" si="1"/>
        <v>3334.3</v>
      </c>
      <c r="J10" s="4">
        <f t="shared" si="2"/>
        <v>-211690.7</v>
      </c>
      <c r="K10" s="3">
        <f t="shared" si="3"/>
        <v>-0.98449343099639586</v>
      </c>
      <c r="L10" s="3">
        <f t="shared" si="4"/>
        <v>8.5662770825690165E-3</v>
      </c>
      <c r="M10" s="3">
        <f>_xlfn.XLOOKUP(A10,tblMarketdata[[#This Row],[Ticker   ]],tblMarketdata[[#This Row],[Day change (%)]],0)</f>
        <v>-1.4074928294745531E-2</v>
      </c>
    </row>
    <row r="11" spans="1:13" x14ac:dyDescent="0.35">
      <c r="A11" s="10" t="s">
        <v>41</v>
      </c>
      <c r="B11" s="11" t="str">
        <f>_xlfn.XLOOKUP(A11,tblMarketdata[[#This Row],[Ticker   ]],tblMarketdata[[#This Row],[Company Name ]],"Not Found")</f>
        <v>Microsoft Corp</v>
      </c>
      <c r="C11" t="str">
        <f>_xlfn.XLOOKUP(A11,tblMarketdata[[#This Row],[Ticker   ]],tblMarketdata[[#This Row],[Sector]],"Not Found")</f>
        <v>Technology</v>
      </c>
      <c r="D11" t="str">
        <f>_xlfn.XLOOKUP(A11,tblMarketdata[[#This Row],[Ticker   ]],tblMarketdata[[#This Row],[Asset Type]],"Not Found")</f>
        <v>Equity</v>
      </c>
      <c r="E11" s="4">
        <f>SUMIFS(Table2[[#This Row],[Quantity]],Table2[[#This Row],[Ticker]],' Holdings sheet'!A11,Table2[[#This Row],[Action]],"BUY")-SUMIFS(Table2[[#This Row],[Quantity]],Table2[[#This Row],[Ticker]],' Holdings sheet'!A11,Table2[[#This Row],[Action]],"SELL")</f>
        <v>8</v>
      </c>
      <c r="F11" s="11">
        <f>IFERROR(SUMIFS(Table2[[#This Row],[Total Cost ]],Table2[[#This Row],[Ticker]],' Holdings sheet'!A11,Table2[[#This Row],[Action]],"BUY")/SUMIFS(Table2[[#This Row],[Quantity]],Table2[[#This Row],[Ticker]],' Holdings sheet'!A11,Table2[[#This Row],[Action]],"BUY"),0)</f>
        <v>35003.125</v>
      </c>
      <c r="G11" s="4">
        <f>_xlfn.XLOOKUP(A11,tblMarketdata[[#This Row],[Ticker   ]],tblMarketdata[[#This Row],[Current price (rs.)]],0)</f>
        <v>451.1</v>
      </c>
      <c r="H11" s="4">
        <f t="shared" si="0"/>
        <v>280025</v>
      </c>
      <c r="I11" s="4">
        <f t="shared" si="1"/>
        <v>3608.8</v>
      </c>
      <c r="J11" s="4">
        <f t="shared" si="2"/>
        <v>-276416.2</v>
      </c>
      <c r="K11" s="3">
        <f t="shared" si="3"/>
        <v>-0.98711257923399698</v>
      </c>
      <c r="L11" s="3">
        <f t="shared" si="4"/>
        <v>9.2715054840821348E-3</v>
      </c>
      <c r="M11" s="3">
        <f>_xlfn.XLOOKUP(A11,tblMarketdata[[#This Row],[Ticker   ]],tblMarketdata[[#This Row],[Day change (%)]],0)</f>
        <v>0.15506734265376146</v>
      </c>
    </row>
    <row r="12" spans="1:13" x14ac:dyDescent="0.35">
      <c r="A12" s="12" t="s">
        <v>85</v>
      </c>
      <c r="B12" s="11"/>
      <c r="F12" s="11"/>
      <c r="H12" s="4">
        <f>SUBTOTAL(109,Table3[Total Cost ₹])</f>
        <v>1145050</v>
      </c>
      <c r="I12" s="4">
        <f>SUBTOTAL(109,Table3[Current Value ₹])</f>
        <v>389235.6</v>
      </c>
      <c r="J12" s="4">
        <f>SUBTOTAL(109,Table3[Unrealised P&amp;L ₹])</f>
        <v>-755814.40000000002</v>
      </c>
      <c r="M12" s="3">
        <f>SUBTOTAL(109,Table3[Day Change ₹])</f>
        <v>0.19482674202353129</v>
      </c>
    </row>
    <row r="13" spans="1:13" x14ac:dyDescent="0.35">
      <c r="A13" s="10"/>
    </row>
    <row r="14" spans="1:13" x14ac:dyDescent="0.35">
      <c r="A14" s="10"/>
    </row>
  </sheetData>
  <conditionalFormatting sqref="J2:J11">
    <cfRule type="cellIs" dxfId="38" priority="3" operator="lessThan">
      <formula>0</formula>
    </cfRule>
    <cfRule type="cellIs" dxfId="37" priority="4" operator="greaterThan">
      <formula>0</formula>
    </cfRule>
  </conditionalFormatting>
  <conditionalFormatting sqref="K2:K11">
    <cfRule type="cellIs" dxfId="36" priority="1" stopIfTrue="1" operator="lessThan">
      <formula>0</formula>
    </cfRule>
    <cfRule type="cellIs" dxfId="35" priority="2" operator="greaterThan">
      <formula>0</formula>
    </cfRule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DA917-56B4-4AB3-8A5D-4CF590FFE20F}">
  <sheetPr codeName="Sheet4"/>
  <dimension ref="A1:L16"/>
  <sheetViews>
    <sheetView topLeftCell="C1" zoomScale="69" workbookViewId="0">
      <pane ySplit="1" topLeftCell="A2" activePane="bottomLeft" state="frozen"/>
      <selection activeCell="J1" sqref="J1"/>
      <selection pane="bottomLeft" activeCell="F21" sqref="F21"/>
    </sheetView>
  </sheetViews>
  <sheetFormatPr defaultColWidth="15.6328125" defaultRowHeight="14.5" x14ac:dyDescent="0.35"/>
  <cols>
    <col min="2" max="2" width="16.54296875" customWidth="1"/>
    <col min="8" max="8" width="16.1796875" customWidth="1"/>
  </cols>
  <sheetData>
    <row r="1" spans="1:12" s="2" customFormat="1" ht="20" customHeight="1" x14ac:dyDescent="0.35">
      <c r="A1" s="2" t="s">
        <v>9</v>
      </c>
      <c r="B1" s="2" t="s">
        <v>0</v>
      </c>
      <c r="C1" s="2" t="s">
        <v>1</v>
      </c>
      <c r="D1" s="2" t="s">
        <v>2</v>
      </c>
      <c r="E1" s="2" t="s">
        <v>49</v>
      </c>
      <c r="F1" s="2" t="s">
        <v>44</v>
      </c>
      <c r="G1" s="2" t="s">
        <v>3</v>
      </c>
      <c r="H1" s="2" t="s">
        <v>5</v>
      </c>
      <c r="I1" s="2" t="s">
        <v>4</v>
      </c>
      <c r="J1" s="2" t="s">
        <v>6</v>
      </c>
      <c r="K1" s="2" t="s">
        <v>7</v>
      </c>
      <c r="L1" s="2" t="s">
        <v>8</v>
      </c>
    </row>
    <row r="2" spans="1:12" x14ac:dyDescent="0.35">
      <c r="A2" s="1" t="s">
        <v>10</v>
      </c>
      <c r="B2" t="s">
        <v>11</v>
      </c>
      <c r="C2" t="s">
        <v>12</v>
      </c>
      <c r="D2" t="s">
        <v>13</v>
      </c>
      <c r="E2" t="s">
        <v>14</v>
      </c>
      <c r="F2" s="4">
        <v>1292.9000000000001</v>
      </c>
      <c r="G2" s="4">
        <v>1275.9000000000001</v>
      </c>
      <c r="H2" s="4">
        <f>F2-G2</f>
        <v>17</v>
      </c>
      <c r="I2" s="3">
        <f>IFERROR((F2-G2)/G2,0)</f>
        <v>1.3323928207539774E-2</v>
      </c>
      <c r="J2" s="4">
        <v>1611.8</v>
      </c>
      <c r="K2" s="4">
        <v>1249.8</v>
      </c>
      <c r="L2" s="5">
        <v>46234.171354166669</v>
      </c>
    </row>
    <row r="3" spans="1:12" x14ac:dyDescent="0.35">
      <c r="A3" s="1" t="s">
        <v>15</v>
      </c>
      <c r="B3" t="s">
        <v>16</v>
      </c>
      <c r="C3" t="s">
        <v>17</v>
      </c>
      <c r="D3" t="s">
        <v>18</v>
      </c>
      <c r="E3" t="s">
        <v>14</v>
      </c>
      <c r="F3" s="4">
        <v>2431.8000000000002</v>
      </c>
      <c r="G3" s="4">
        <v>2446.6</v>
      </c>
      <c r="H3" s="4">
        <f t="shared" ref="H3:H11" si="0">F3-G3</f>
        <v>-14.799999999999727</v>
      </c>
      <c r="I3" s="3">
        <f t="shared" ref="I3:I11" si="1">IFERROR((F3-G3)/G3,0)</f>
        <v>-6.0492111501674684E-3</v>
      </c>
      <c r="J3" s="4">
        <v>3350</v>
      </c>
      <c r="K3" s="4">
        <v>1976.8</v>
      </c>
      <c r="L3" s="5">
        <v>46234.171354166669</v>
      </c>
    </row>
    <row r="4" spans="1:12" x14ac:dyDescent="0.35">
      <c r="A4" s="1" t="s">
        <v>19</v>
      </c>
      <c r="B4" t="s">
        <v>20</v>
      </c>
      <c r="C4" t="s">
        <v>17</v>
      </c>
      <c r="D4" t="s">
        <v>18</v>
      </c>
      <c r="E4" t="s">
        <v>14</v>
      </c>
      <c r="F4" s="4">
        <v>1155.0999999999999</v>
      </c>
      <c r="G4" s="4">
        <v>1155.5999999999999</v>
      </c>
      <c r="H4" s="4">
        <f t="shared" si="0"/>
        <v>-0.5</v>
      </c>
      <c r="I4" s="3">
        <f t="shared" si="1"/>
        <v>-4.3267566632052619E-4</v>
      </c>
      <c r="J4" s="4">
        <v>1728</v>
      </c>
      <c r="K4" s="4">
        <v>982.4</v>
      </c>
      <c r="L4" s="5">
        <v>46234.171354166669</v>
      </c>
    </row>
    <row r="5" spans="1:12" x14ac:dyDescent="0.35">
      <c r="A5" s="1" t="s">
        <v>21</v>
      </c>
      <c r="B5" t="s">
        <v>22</v>
      </c>
      <c r="C5" t="s">
        <v>23</v>
      </c>
      <c r="D5" t="s">
        <v>24</v>
      </c>
      <c r="E5" t="s">
        <v>14</v>
      </c>
      <c r="F5" s="4">
        <v>753.95</v>
      </c>
      <c r="G5" s="4">
        <v>748.2</v>
      </c>
      <c r="H5" s="4">
        <f t="shared" si="0"/>
        <v>5.75</v>
      </c>
      <c r="I5" s="3">
        <f>IFERROR((F5-G5)/G5,0)</f>
        <v>7.6851109329056401E-3</v>
      </c>
      <c r="J5" s="4">
        <v>1020.5</v>
      </c>
      <c r="K5" s="4">
        <v>726.65</v>
      </c>
      <c r="L5" s="5">
        <v>46234.171354166669</v>
      </c>
    </row>
    <row r="6" spans="1:12" x14ac:dyDescent="0.35">
      <c r="A6" s="1" t="s">
        <v>25</v>
      </c>
      <c r="B6" t="s">
        <v>26</v>
      </c>
      <c r="C6" t="s">
        <v>27</v>
      </c>
      <c r="D6" t="s">
        <v>28</v>
      </c>
      <c r="E6" t="s">
        <v>14</v>
      </c>
      <c r="F6" s="4">
        <v>724</v>
      </c>
      <c r="G6" s="4">
        <v>710</v>
      </c>
      <c r="H6" s="4">
        <f t="shared" si="0"/>
        <v>14</v>
      </c>
      <c r="I6" s="3">
        <f t="shared" si="1"/>
        <v>1.9718309859154931E-2</v>
      </c>
      <c r="J6" s="4">
        <v>1179</v>
      </c>
      <c r="K6" s="4">
        <v>604</v>
      </c>
      <c r="L6" s="5">
        <f t="shared" ref="L6" ca="1" si="2">IF(F6&lt;&gt;"",NOW(),"")</f>
        <v>46234.174691782406</v>
      </c>
    </row>
    <row r="7" spans="1:12" x14ac:dyDescent="0.35">
      <c r="A7" s="1" t="s">
        <v>29</v>
      </c>
      <c r="B7" t="s">
        <v>30</v>
      </c>
      <c r="C7" t="s">
        <v>31</v>
      </c>
      <c r="D7" t="s">
        <v>32</v>
      </c>
      <c r="E7" t="s">
        <v>14</v>
      </c>
      <c r="F7" s="4">
        <v>2001.1</v>
      </c>
      <c r="G7" s="4">
        <v>1989.9</v>
      </c>
      <c r="H7" s="4">
        <f t="shared" si="0"/>
        <v>11.199999999999818</v>
      </c>
      <c r="I7" s="3">
        <f t="shared" si="1"/>
        <v>5.6284235388712085E-3</v>
      </c>
      <c r="J7" s="4">
        <v>2017.3</v>
      </c>
      <c r="K7" s="4">
        <v>1548</v>
      </c>
      <c r="L7" s="5">
        <v>46234.171365740738</v>
      </c>
    </row>
    <row r="8" spans="1:12" x14ac:dyDescent="0.35">
      <c r="A8" s="1" t="s">
        <v>33</v>
      </c>
      <c r="B8" t="s">
        <v>34</v>
      </c>
      <c r="C8" t="s">
        <v>23</v>
      </c>
      <c r="D8" t="s">
        <v>35</v>
      </c>
      <c r="E8" t="s">
        <v>14</v>
      </c>
      <c r="F8" s="4">
        <v>1053.5</v>
      </c>
      <c r="G8" s="4">
        <v>1054.4000000000001</v>
      </c>
      <c r="H8" s="4">
        <f t="shared" si="0"/>
        <v>-0.90000000000009095</v>
      </c>
      <c r="I8" s="3">
        <f t="shared" si="1"/>
        <v>-8.5356600910479032E-4</v>
      </c>
      <c r="J8" s="4">
        <v>1102.5</v>
      </c>
      <c r="K8" s="4">
        <v>787.9</v>
      </c>
      <c r="L8" s="5">
        <v>46234.171365740738</v>
      </c>
    </row>
    <row r="9" spans="1:12" x14ac:dyDescent="0.35">
      <c r="A9" s="1" t="s">
        <v>36</v>
      </c>
      <c r="B9" t="s">
        <v>37</v>
      </c>
      <c r="C9" t="s">
        <v>17</v>
      </c>
      <c r="D9" t="s">
        <v>18</v>
      </c>
      <c r="E9" t="s">
        <v>14</v>
      </c>
      <c r="F9" s="4">
        <v>186.33</v>
      </c>
      <c r="G9" s="4">
        <v>183.61</v>
      </c>
      <c r="H9" s="4">
        <f t="shared" si="0"/>
        <v>2.7199999999999989</v>
      </c>
      <c r="I9" s="3">
        <f t="shared" si="1"/>
        <v>1.4814007951636614E-2</v>
      </c>
      <c r="J9" s="4">
        <v>273.10000000000002</v>
      </c>
      <c r="K9" s="4">
        <v>169</v>
      </c>
      <c r="L9" s="5">
        <v>46234.171365740738</v>
      </c>
    </row>
    <row r="10" spans="1:12" x14ac:dyDescent="0.35">
      <c r="A10" s="1" t="s">
        <v>38</v>
      </c>
      <c r="B10" t="s">
        <v>39</v>
      </c>
      <c r="C10" t="s">
        <v>17</v>
      </c>
      <c r="D10" t="s">
        <v>40</v>
      </c>
      <c r="E10" t="s">
        <v>14</v>
      </c>
      <c r="F10" s="4">
        <v>333.43</v>
      </c>
      <c r="G10" s="4">
        <v>338.19</v>
      </c>
      <c r="H10" s="4">
        <f t="shared" si="0"/>
        <v>-4.7599999999999909</v>
      </c>
      <c r="I10" s="3">
        <f t="shared" si="1"/>
        <v>-1.4074928294745531E-2</v>
      </c>
      <c r="J10" s="4">
        <v>344.57</v>
      </c>
      <c r="K10" s="4">
        <v>201.5</v>
      </c>
      <c r="L10" s="5">
        <v>46234.171365740738</v>
      </c>
    </row>
    <row r="11" spans="1:12" x14ac:dyDescent="0.35">
      <c r="A11" s="1" t="s">
        <v>41</v>
      </c>
      <c r="B11" t="s">
        <v>42</v>
      </c>
      <c r="C11" t="s">
        <v>17</v>
      </c>
      <c r="D11" t="s">
        <v>43</v>
      </c>
      <c r="E11" t="s">
        <v>14</v>
      </c>
      <c r="F11" s="4">
        <v>451.1</v>
      </c>
      <c r="G11" s="4">
        <v>390.54</v>
      </c>
      <c r="H11" s="4">
        <f t="shared" si="0"/>
        <v>60.56</v>
      </c>
      <c r="I11" s="3">
        <f t="shared" si="1"/>
        <v>0.15506734265376146</v>
      </c>
      <c r="J11" s="4">
        <v>555.45000000000005</v>
      </c>
      <c r="K11" s="4">
        <v>349.2</v>
      </c>
      <c r="L11" s="5">
        <v>46234.171377314815</v>
      </c>
    </row>
    <row r="12" spans="1:12" x14ac:dyDescent="0.35">
      <c r="A12" s="1" t="s">
        <v>121</v>
      </c>
      <c r="B12" t="s">
        <v>126</v>
      </c>
      <c r="C12" t="s">
        <v>131</v>
      </c>
      <c r="D12" t="s">
        <v>138</v>
      </c>
      <c r="E12" t="s">
        <v>14</v>
      </c>
      <c r="F12" s="4">
        <v>285.05</v>
      </c>
      <c r="G12" s="4">
        <v>286.25</v>
      </c>
      <c r="H12" s="4">
        <f>F12-G12</f>
        <v>-1.1999999999999886</v>
      </c>
      <c r="I12" s="3">
        <f>IFERROR((F12-G12)/G12,0)</f>
        <v>-4.1921397379912264E-3</v>
      </c>
      <c r="J12" s="4">
        <v>427</v>
      </c>
      <c r="K12" s="4">
        <v>275</v>
      </c>
      <c r="L12" s="5">
        <v>46234.171377314815</v>
      </c>
    </row>
    <row r="13" spans="1:12" x14ac:dyDescent="0.35">
      <c r="A13" s="1" t="s">
        <v>122</v>
      </c>
      <c r="B13" t="s">
        <v>127</v>
      </c>
      <c r="C13" t="s">
        <v>132</v>
      </c>
      <c r="D13" t="s">
        <v>139</v>
      </c>
      <c r="E13" t="s">
        <v>14</v>
      </c>
      <c r="F13" s="4">
        <v>3937.7</v>
      </c>
      <c r="G13" s="4">
        <v>3931.4</v>
      </c>
      <c r="H13" s="4">
        <f>F13-G13</f>
        <v>6.2999999999997272</v>
      </c>
      <c r="I13" s="3">
        <f>IFERROR((F13-G13)/G13,0)</f>
        <v>1.6024825761814436E-3</v>
      </c>
      <c r="J13" s="4">
        <v>4440</v>
      </c>
      <c r="K13" s="4">
        <v>3288.1</v>
      </c>
      <c r="L13" s="5">
        <v>46234.171377314815</v>
      </c>
    </row>
    <row r="14" spans="1:12" x14ac:dyDescent="0.35">
      <c r="A14" s="1" t="s">
        <v>123</v>
      </c>
      <c r="B14" t="s">
        <v>128</v>
      </c>
      <c r="C14" t="s">
        <v>27</v>
      </c>
      <c r="D14" t="s">
        <v>28</v>
      </c>
      <c r="E14" t="s">
        <v>14</v>
      </c>
      <c r="F14" s="4">
        <v>14188</v>
      </c>
      <c r="G14" s="4">
        <v>13948</v>
      </c>
      <c r="H14" s="4">
        <f>F14-G14</f>
        <v>240</v>
      </c>
      <c r="I14" s="3">
        <f>IFERROR((F14-G14)/G14,0)</f>
        <v>1.7206767995411529E-2</v>
      </c>
      <c r="J14" s="4">
        <v>17370</v>
      </c>
      <c r="K14" s="4">
        <v>12201</v>
      </c>
      <c r="L14" s="5">
        <v>46234.171377314815</v>
      </c>
    </row>
    <row r="15" spans="1:12" x14ac:dyDescent="0.35">
      <c r="A15" s="1" t="s">
        <v>124</v>
      </c>
      <c r="B15" t="s">
        <v>129</v>
      </c>
      <c r="C15" t="s">
        <v>132</v>
      </c>
      <c r="D15" t="s">
        <v>140</v>
      </c>
      <c r="E15" t="s">
        <v>14</v>
      </c>
      <c r="F15" s="4">
        <v>3049.1</v>
      </c>
      <c r="G15" s="4">
        <v>3024.5</v>
      </c>
      <c r="H15" s="4">
        <f>F15-G15</f>
        <v>24.599999999999909</v>
      </c>
      <c r="I15" s="3">
        <f>IFERROR((F15-G15)/G15,0)</f>
        <v>8.1335757976524741E-3</v>
      </c>
      <c r="J15" s="4">
        <v>3245</v>
      </c>
      <c r="K15" s="4">
        <v>1753</v>
      </c>
      <c r="L15" s="5">
        <v>46234.171377314815</v>
      </c>
    </row>
    <row r="16" spans="1:12" x14ac:dyDescent="0.35">
      <c r="A16" s="1" t="s">
        <v>125</v>
      </c>
      <c r="B16" t="s">
        <v>130</v>
      </c>
      <c r="C16" t="s">
        <v>131</v>
      </c>
      <c r="D16" t="s">
        <v>141</v>
      </c>
      <c r="E16" t="s">
        <v>14</v>
      </c>
      <c r="F16" s="4">
        <v>2746.2</v>
      </c>
      <c r="G16" s="4">
        <v>2758.4</v>
      </c>
      <c r="H16" s="4">
        <f>F16-G16</f>
        <v>-12.200000000000273</v>
      </c>
      <c r="I16" s="3">
        <f>IFERROR((F16-G16)/G16,0)</f>
        <v>-4.4228538283063636E-3</v>
      </c>
      <c r="J16" s="4">
        <v>2985.7</v>
      </c>
      <c r="K16" s="4">
        <v>2115</v>
      </c>
      <c r="L16" s="5">
        <v>46234.171388888892</v>
      </c>
    </row>
  </sheetData>
  <conditionalFormatting sqref="I2:I16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80802F-B3AF-4A5E-A90A-7177BFADE283}">
  <sheetPr codeName="Sheet5"/>
  <dimension ref="A1:D16"/>
  <sheetViews>
    <sheetView workbookViewId="0">
      <selection sqref="A1:XFD1"/>
    </sheetView>
  </sheetViews>
  <sheetFormatPr defaultRowHeight="14.5" x14ac:dyDescent="0.35"/>
  <cols>
    <col min="1" max="1" width="28.6328125" style="1" customWidth="1"/>
    <col min="2" max="2" width="16.453125" customWidth="1"/>
  </cols>
  <sheetData>
    <row r="1" spans="1:4" ht="21" x14ac:dyDescent="0.5">
      <c r="A1" s="38" t="s">
        <v>86</v>
      </c>
      <c r="B1" s="38"/>
      <c r="C1" s="38"/>
      <c r="D1" s="38"/>
    </row>
    <row r="3" spans="1:4" ht="15" thickBot="1" x14ac:dyDescent="0.4">
      <c r="A3" s="13" t="s">
        <v>87</v>
      </c>
      <c r="B3" s="14">
        <f>SUM(Table3[Total Cost ₹])</f>
        <v>1145050</v>
      </c>
    </row>
    <row r="4" spans="1:4" ht="15" thickBot="1" x14ac:dyDescent="0.4">
      <c r="A4" s="15" t="s">
        <v>88</v>
      </c>
      <c r="B4" s="16">
        <f>SUM(Table3[Current Value ₹])</f>
        <v>389235.6</v>
      </c>
    </row>
    <row r="5" spans="1:4" ht="15" thickBot="1" x14ac:dyDescent="0.4">
      <c r="A5" s="15" t="s">
        <v>89</v>
      </c>
      <c r="B5" s="16">
        <f>SUM(Table3[Unrealised P&amp;L ₹])</f>
        <v>-755814.40000000002</v>
      </c>
    </row>
    <row r="6" spans="1:4" ht="15" thickBot="1" x14ac:dyDescent="0.4">
      <c r="A6" s="15" t="s">
        <v>90</v>
      </c>
      <c r="B6" s="16">
        <f>SUM(Table2[Dividend])</f>
        <v>800</v>
      </c>
    </row>
    <row r="7" spans="1:4" ht="15" thickBot="1" x14ac:dyDescent="0.4">
      <c r="A7" s="15" t="s">
        <v>91</v>
      </c>
      <c r="B7" s="17">
        <f>IFERROR((B4-B3)/B3,0)</f>
        <v>-0.66007108859875119</v>
      </c>
    </row>
    <row r="8" spans="1:4" ht="15" thickBot="1" x14ac:dyDescent="0.4">
      <c r="A8" s="15" t="s">
        <v>92</v>
      </c>
      <c r="B8" s="17">
        <f ca="1">IFERROR((B4/B3)^(365/B10)-1,0)</f>
        <v>-0.34169776932000551</v>
      </c>
    </row>
    <row r="9" spans="1:4" ht="15" thickBot="1" x14ac:dyDescent="0.4">
      <c r="A9" s="15" t="s">
        <v>93</v>
      </c>
      <c r="B9" s="18">
        <f>MIN('Transaction entry sheet '!B2:B13)</f>
        <v>45292</v>
      </c>
    </row>
    <row r="10" spans="1:4" ht="15" thickBot="1" x14ac:dyDescent="0.4">
      <c r="A10" s="15" t="s">
        <v>94</v>
      </c>
      <c r="B10" s="19">
        <f ca="1">TODAY()-B9</f>
        <v>942</v>
      </c>
    </row>
    <row r="11" spans="1:4" ht="15" thickBot="1" x14ac:dyDescent="0.4">
      <c r="A11" s="15" t="s">
        <v>95</v>
      </c>
      <c r="B11" s="17">
        <f>COUNTIF(Table3[Return %],"&gt;0")/COUNT(Table3[Return %])</f>
        <v>0.1</v>
      </c>
    </row>
    <row r="12" spans="1:4" ht="15" thickBot="1" x14ac:dyDescent="0.4">
      <c r="A12" s="15" t="s">
        <v>96</v>
      </c>
      <c r="B12" s="17">
        <f>IFERROR(AVERAGEIF(Table3[Return %],"&gt;0"),0)</f>
        <v>0.29019987105093487</v>
      </c>
    </row>
    <row r="13" spans="1:4" ht="15" thickBot="1" x14ac:dyDescent="0.4">
      <c r="A13" s="15" t="s">
        <v>97</v>
      </c>
      <c r="B13" s="17">
        <f>IFERROR(AVERAGEIF(Table3[Return %],"&lt;0"),0)</f>
        <v>-0.57203463081635952</v>
      </c>
    </row>
    <row r="14" spans="1:4" ht="15" thickBot="1" x14ac:dyDescent="0.4">
      <c r="A14" s="15" t="s">
        <v>98</v>
      </c>
      <c r="B14" s="19">
        <f>COUNTIF(Table3[Shares Held],"&gt;0")</f>
        <v>10</v>
      </c>
    </row>
    <row r="15" spans="1:4" ht="15" thickBot="1" x14ac:dyDescent="0.4">
      <c r="A15" s="15" t="s">
        <v>99</v>
      </c>
      <c r="B15" s="20" t="str">
        <f>INDEX(Table3[Ticker],MATCH(MAX(Table3[Return %]),Table3[Return %],0))</f>
        <v>SUNPHARMA.NS</v>
      </c>
    </row>
    <row r="16" spans="1:4" x14ac:dyDescent="0.35">
      <c r="A16" s="21" t="s">
        <v>100</v>
      </c>
      <c r="B16" s="22" t="str">
        <f>INDEX(Table3[Ticker],MATCH(MIN(Table3[Return %]),Table3[Return %],0))</f>
        <v>MSFT</v>
      </c>
    </row>
  </sheetData>
  <mergeCells count="1">
    <mergeCell ref="A1:D1"/>
  </mergeCells>
  <conditionalFormatting sqref="B5:B8">
    <cfRule type="cellIs" dxfId="11" priority="1" operator="lessThan">
      <formula>0</formula>
    </cfRule>
    <cfRule type="cellIs" dxfId="10" priority="2" operator="greater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6FF75-1494-482F-A7F6-272F5375FB38}">
  <sheetPr codeName="Sheet6"/>
  <dimension ref="A1:D10"/>
  <sheetViews>
    <sheetView workbookViewId="0">
      <selection sqref="A1:XFD1"/>
    </sheetView>
  </sheetViews>
  <sheetFormatPr defaultRowHeight="14.5" x14ac:dyDescent="0.35"/>
  <cols>
    <col min="1" max="1" width="32.6328125" customWidth="1"/>
  </cols>
  <sheetData>
    <row r="1" spans="1:4" ht="21" x14ac:dyDescent="0.5">
      <c r="A1" s="38" t="s">
        <v>101</v>
      </c>
      <c r="B1" s="38"/>
      <c r="C1" s="38"/>
      <c r="D1" s="38"/>
    </row>
    <row r="3" spans="1:4" x14ac:dyDescent="0.35">
      <c r="A3" s="23" t="s">
        <v>102</v>
      </c>
      <c r="B3" s="24">
        <f>STDEV(Table3[Return %])</f>
        <v>0.40261675521189411</v>
      </c>
    </row>
    <row r="4" spans="1:4" x14ac:dyDescent="0.35">
      <c r="A4" s="23" t="s">
        <v>103</v>
      </c>
      <c r="B4" s="24">
        <v>7.0000000000000007E-2</v>
      </c>
    </row>
    <row r="5" spans="1:4" x14ac:dyDescent="0.35">
      <c r="A5" s="23" t="s">
        <v>104</v>
      </c>
      <c r="B5" s="25">
        <f>IFERROR(('Performance '!B7-'Performance '!B4)/'Performance '!B3,0)</f>
        <v>-0.33992948785737614</v>
      </c>
    </row>
    <row r="6" spans="1:4" x14ac:dyDescent="0.35">
      <c r="A6" s="23" t="s">
        <v>105</v>
      </c>
      <c r="B6" s="24">
        <f>MAX(Table3[Portfolio Weight %])</f>
        <v>0.22257085425896297</v>
      </c>
    </row>
    <row r="7" spans="1:4" x14ac:dyDescent="0.35">
      <c r="A7" s="23" t="s">
        <v>106</v>
      </c>
      <c r="B7" s="24">
        <f>LARGE(Table3[Portfolio Weight %],1)+LARGE(Table3[Portfolio Weight %],2)+LARGE(Table3[Portfolio Weight %],3)</f>
        <v>0.57608168420360317</v>
      </c>
    </row>
    <row r="8" spans="1:4" x14ac:dyDescent="0.35">
      <c r="A8" s="23" t="s">
        <v>107</v>
      </c>
      <c r="B8" s="25">
        <f>IFERROR(MIN(10,B9*1.5-B7*5),0)</f>
        <v>4.6195915789819857</v>
      </c>
    </row>
    <row r="9" spans="1:4" x14ac:dyDescent="0.35">
      <c r="A9" s="23" t="s">
        <v>108</v>
      </c>
      <c r="B9" s="25" cm="1">
        <f t="array" ref="B9">SUMPRODUCT(1/COUNTIF(Table3[[Sector ]],Table3[[Sector ]]))</f>
        <v>5.0000000000000009</v>
      </c>
    </row>
    <row r="10" spans="1:4" x14ac:dyDescent="0.35">
      <c r="A10" s="23" t="s">
        <v>109</v>
      </c>
      <c r="B10" s="26" t="str">
        <f>INDEX(Table3[Ticker],MATCH(MAX(Table3[Portfolio Weight %]),Table3[Portfolio Weight %],0))</f>
        <v>INFY.NS</v>
      </c>
    </row>
  </sheetData>
  <mergeCells count="1">
    <mergeCell ref="A1:D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718A52-079E-46CF-A691-1B7A6A4715F1}">
  <sheetPr codeName="Sheet7"/>
  <dimension ref="A1:D14"/>
  <sheetViews>
    <sheetView zoomScale="93" workbookViewId="0">
      <selection activeCell="F15" sqref="F15"/>
    </sheetView>
  </sheetViews>
  <sheetFormatPr defaultRowHeight="14.5" x14ac:dyDescent="0.35"/>
  <cols>
    <col min="1" max="3" width="15.6328125" customWidth="1"/>
  </cols>
  <sheetData>
    <row r="1" spans="1:4" ht="21" x14ac:dyDescent="0.5">
      <c r="A1" s="38" t="s">
        <v>110</v>
      </c>
      <c r="B1" s="38"/>
      <c r="C1" s="38"/>
      <c r="D1" s="38"/>
    </row>
    <row r="3" spans="1:4" x14ac:dyDescent="0.35">
      <c r="A3" s="1" t="s">
        <v>111</v>
      </c>
    </row>
    <row r="4" spans="1:4" x14ac:dyDescent="0.35">
      <c r="A4" s="27" t="s">
        <v>1</v>
      </c>
      <c r="B4" s="27" t="s">
        <v>112</v>
      </c>
      <c r="C4" s="27" t="s">
        <v>113</v>
      </c>
    </row>
    <row r="5" spans="1:4" x14ac:dyDescent="0.35">
      <c r="A5" t="str" cm="1">
        <f t="array" ref="A5:A9">_xlfn.UNIQUE(Table3[[Sector ]])</f>
        <v>Energy</v>
      </c>
      <c r="B5" s="4">
        <f>SUMIF(' Holdings sheet'!$C$2:$C$11,'Allocation Analytics'!A5,' Holdings sheet'!$I$2:$I$11)</f>
        <v>64645.000000000007</v>
      </c>
      <c r="C5" s="3">
        <f>IFERROR(B5/SUM($B$5:$B$9),0)</f>
        <v>0.16608193084085837</v>
      </c>
    </row>
    <row r="6" spans="1:4" x14ac:dyDescent="0.35">
      <c r="A6" t="str">
        <v>Technology</v>
      </c>
      <c r="B6" s="4">
        <f>SUMIF(' Holdings sheet'!$C$2:$C$11,'Allocation Analytics'!A6,' Holdings sheet'!$I$2:$I$11)</f>
        <v>185162.59999999998</v>
      </c>
      <c r="C6" s="3">
        <f t="shared" ref="C6:C9" si="0">IFERROR(B6/SUM($B$5:$B$9),0)</f>
        <v>0.47570828567582202</v>
      </c>
    </row>
    <row r="7" spans="1:4" x14ac:dyDescent="0.35">
      <c r="A7" t="str">
        <v>Financial</v>
      </c>
      <c r="B7" s="4">
        <f>SUMIF(' Holdings sheet'!$C$2:$C$11,'Allocation Analytics'!A7,' Holdings sheet'!$I$2:$I$11)</f>
        <v>45960.5</v>
      </c>
      <c r="C7" s="3">
        <f t="shared" si="0"/>
        <v>0.11807887048358373</v>
      </c>
    </row>
    <row r="8" spans="1:4" x14ac:dyDescent="0.35">
      <c r="A8" t="str">
        <v>Automobile</v>
      </c>
      <c r="B8" s="4">
        <f>SUMIF(' Holdings sheet'!$C$2:$C$11,'Allocation Analytics'!A8,' Holdings sheet'!$I$2:$I$11)</f>
        <v>43440</v>
      </c>
      <c r="C8" s="3">
        <f t="shared" si="0"/>
        <v>0.11160335796622919</v>
      </c>
    </row>
    <row r="9" spans="1:4" x14ac:dyDescent="0.35">
      <c r="A9" t="str">
        <v>Healthcare</v>
      </c>
      <c r="B9" s="4">
        <f>SUMIF(' Holdings sheet'!$C$2:$C$11,'Allocation Analytics'!A9,' Holdings sheet'!$I$2:$I$11)</f>
        <v>50027.5</v>
      </c>
      <c r="C9" s="3">
        <f t="shared" si="0"/>
        <v>0.12852755503350671</v>
      </c>
    </row>
    <row r="12" spans="1:4" x14ac:dyDescent="0.35">
      <c r="A12" s="1" t="s">
        <v>114</v>
      </c>
    </row>
    <row r="13" spans="1:4" x14ac:dyDescent="0.35">
      <c r="A13" s="27" t="s">
        <v>49</v>
      </c>
      <c r="B13" s="27" t="s">
        <v>115</v>
      </c>
      <c r="C13" s="27" t="s">
        <v>113</v>
      </c>
    </row>
    <row r="14" spans="1:4" x14ac:dyDescent="0.35">
      <c r="A14" t="str" cm="1">
        <f t="array" ref="A14">_xlfn.UNIQUE(Table3[Asset Type])</f>
        <v>Equity</v>
      </c>
      <c r="B14">
        <f>SUMIF(' Holdings sheet'!$D$2:$D$11,'Allocation Analytics'!A14,' Holdings sheet'!$I$2:$I$11)</f>
        <v>389235.6</v>
      </c>
      <c r="C14">
        <f>IFERROR(B14/SUM($B$14:$B$14),0)</f>
        <v>1</v>
      </c>
    </row>
  </sheetData>
  <mergeCells count="1">
    <mergeCell ref="A1:D1"/>
  </mergeCells>
  <conditionalFormatting sqref="C5:C9">
    <cfRule type="cellIs" dxfId="9" priority="1" operator="greaterThan">
      <formula>0.3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5A66B6-D3D2-460D-B666-EC9D092D795B}">
  <sheetPr codeName="Sheet8"/>
  <dimension ref="A1:J6"/>
  <sheetViews>
    <sheetView topLeftCell="G1" workbookViewId="0">
      <selection activeCell="B9" sqref="B9"/>
    </sheetView>
  </sheetViews>
  <sheetFormatPr defaultColWidth="12.6328125" defaultRowHeight="14.5" x14ac:dyDescent="0.35"/>
  <cols>
    <col min="2" max="2" width="16.08984375" customWidth="1"/>
    <col min="4" max="4" width="15.26953125" customWidth="1"/>
    <col min="5" max="5" width="14.1796875" customWidth="1"/>
  </cols>
  <sheetData>
    <row r="1" spans="1:10" s="28" customFormat="1" ht="20" customHeight="1" x14ac:dyDescent="0.35">
      <c r="A1" s="28" t="s">
        <v>116</v>
      </c>
      <c r="B1" s="28" t="s">
        <v>48</v>
      </c>
      <c r="C1" s="28" t="s">
        <v>75</v>
      </c>
      <c r="D1" s="28" t="s">
        <v>78</v>
      </c>
      <c r="E1" s="28" t="s">
        <v>117</v>
      </c>
      <c r="F1" s="28" t="s">
        <v>118</v>
      </c>
      <c r="G1" s="28" t="s">
        <v>119</v>
      </c>
      <c r="H1" s="28" t="s">
        <v>7</v>
      </c>
      <c r="I1" s="28" t="s">
        <v>52</v>
      </c>
      <c r="J1" s="28" t="s">
        <v>120</v>
      </c>
    </row>
    <row r="2" spans="1:10" x14ac:dyDescent="0.35">
      <c r="A2" s="1" t="s">
        <v>121</v>
      </c>
      <c r="B2" t="s">
        <v>126</v>
      </c>
      <c r="C2" t="s">
        <v>131</v>
      </c>
      <c r="D2" s="4">
        <f>_xlfn.XLOOKUP(A2,'Market Data'!A:A,'Market Data'!F:F,0)</f>
        <v>285.05</v>
      </c>
      <c r="E2" s="4">
        <v>480</v>
      </c>
      <c r="F2" s="3">
        <f>IFERROR((E2-D2)/D2,0)</f>
        <v>0.68391510261357646</v>
      </c>
      <c r="G2" s="4">
        <v>528</v>
      </c>
      <c r="H2" s="4">
        <v>399</v>
      </c>
      <c r="I2" t="s">
        <v>133</v>
      </c>
      <c r="J2" t="str">
        <f>IF(D2&lt;=E2,"BUY ZONE","WAIT")</f>
        <v>BUY ZONE</v>
      </c>
    </row>
    <row r="3" spans="1:10" x14ac:dyDescent="0.35">
      <c r="A3" s="1" t="s">
        <v>122</v>
      </c>
      <c r="B3" t="s">
        <v>127</v>
      </c>
      <c r="C3" t="s">
        <v>132</v>
      </c>
      <c r="D3" s="4">
        <f>_xlfn.XLOOKUP(A3,'Market Data'!A:A,'Market Data'!F:F,0)</f>
        <v>3937.7</v>
      </c>
      <c r="E3" s="4">
        <v>3800</v>
      </c>
      <c r="F3" s="3">
        <f t="shared" ref="F3:F6" si="0">IFERROR((E3-D3)/D3,0)</f>
        <v>-3.4969652335119443E-2</v>
      </c>
      <c r="G3" s="4">
        <v>3958</v>
      </c>
      <c r="H3" s="4">
        <v>3129</v>
      </c>
      <c r="I3" t="s">
        <v>134</v>
      </c>
      <c r="J3" t="str">
        <f t="shared" ref="J3:J6" si="1">IF(D3&lt;=E3,"BUY ZONE","WAIT")</f>
        <v>WAIT</v>
      </c>
    </row>
    <row r="4" spans="1:10" x14ac:dyDescent="0.35">
      <c r="A4" s="1" t="s">
        <v>123</v>
      </c>
      <c r="B4" t="s">
        <v>128</v>
      </c>
      <c r="C4" t="s">
        <v>27</v>
      </c>
      <c r="D4" s="4">
        <f>_xlfn.XLOOKUP(A4,'Market Data'!A:A,'Market Data'!F:F,0)</f>
        <v>14188</v>
      </c>
      <c r="E4" s="4">
        <v>13500</v>
      </c>
      <c r="F4" s="3">
        <f t="shared" si="0"/>
        <v>-4.8491683112489428E-2</v>
      </c>
      <c r="G4" s="4">
        <v>14150</v>
      </c>
      <c r="H4" s="4">
        <v>10500</v>
      </c>
      <c r="I4" t="s">
        <v>135</v>
      </c>
      <c r="J4" t="str">
        <f t="shared" si="1"/>
        <v>WAIT</v>
      </c>
    </row>
    <row r="5" spans="1:10" x14ac:dyDescent="0.35">
      <c r="A5" s="1" t="s">
        <v>124</v>
      </c>
      <c r="B5" t="s">
        <v>129</v>
      </c>
      <c r="C5" t="s">
        <v>132</v>
      </c>
      <c r="D5" s="4">
        <f>_xlfn.XLOOKUP(A5,'Market Data'!A:A,'Market Data'!F:F,0)</f>
        <v>3049.1</v>
      </c>
      <c r="E5" s="4">
        <v>3200</v>
      </c>
      <c r="F5" s="3">
        <f t="shared" si="0"/>
        <v>4.9490013446590826E-2</v>
      </c>
      <c r="G5" s="4">
        <v>3743</v>
      </c>
      <c r="H5" s="4">
        <v>2025</v>
      </c>
      <c r="I5" t="s">
        <v>136</v>
      </c>
      <c r="J5" t="str">
        <f t="shared" si="1"/>
        <v>BUY ZONE</v>
      </c>
    </row>
    <row r="6" spans="1:10" x14ac:dyDescent="0.35">
      <c r="A6" s="1" t="s">
        <v>125</v>
      </c>
      <c r="B6" t="s">
        <v>130</v>
      </c>
      <c r="C6" t="s">
        <v>131</v>
      </c>
      <c r="D6" s="4">
        <f>_xlfn.XLOOKUP(A6,'Market Data'!A:A,'Market Data'!F:F,0)</f>
        <v>2746.2</v>
      </c>
      <c r="E6" s="4">
        <v>2900</v>
      </c>
      <c r="F6" s="3">
        <f t="shared" si="0"/>
        <v>5.6004660986089937E-2</v>
      </c>
      <c r="G6" s="4">
        <v>3395</v>
      </c>
      <c r="H6" s="4">
        <v>2124</v>
      </c>
      <c r="I6" t="s">
        <v>137</v>
      </c>
      <c r="J6" t="str">
        <f t="shared" si="1"/>
        <v>BUY ZONE</v>
      </c>
    </row>
  </sheetData>
  <conditionalFormatting sqref="J2:J6">
    <cfRule type="cellIs" dxfId="8" priority="1" operator="equal">
      <formula>"WAIT"</formula>
    </cfRule>
    <cfRule type="cellIs" dxfId="7" priority="2" operator="equal">
      <formula>"BUY ZONE"</formula>
    </cfRule>
  </conditionalFormatting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90D32D-D4DD-4C70-9B07-802290BD41ED}">
  <sheetPr codeName="Sheet9"/>
  <dimension ref="A1:L28"/>
  <sheetViews>
    <sheetView topLeftCell="A20" zoomScale="91" workbookViewId="0">
      <selection activeCell="C26" sqref="C26"/>
    </sheetView>
  </sheetViews>
  <sheetFormatPr defaultRowHeight="14.5" x14ac:dyDescent="0.35"/>
  <cols>
    <col min="1" max="1" width="11.1796875" customWidth="1"/>
    <col min="11" max="11" width="17.08984375" customWidth="1"/>
  </cols>
  <sheetData>
    <row r="1" spans="1:12" ht="40" customHeight="1" x14ac:dyDescent="0.35">
      <c r="A1" s="42" t="s">
        <v>142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</row>
    <row r="2" spans="1:12" x14ac:dyDescent="0.35">
      <c r="A2" s="43" t="str">
        <f ca="1">"Last Updated: "&amp;TEXT(NOW(),"DD-MMM-YYYY HH:MM")</f>
        <v>Last Updated: 31-Jul-2026 04:11</v>
      </c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</row>
    <row r="4" spans="1:12" ht="14.5" customHeight="1" x14ac:dyDescent="0.35">
      <c r="A4" s="40" t="str">
        <f>"TOTAL PORTFOLIO VALUE"&amp;CHAR(10)&amp;"₹"&amp;TEXT('Performance '!B4,"#,##0")</f>
        <v>TOTAL PORTFOLIO VALUE
₹3,89,236</v>
      </c>
      <c r="B4" s="40"/>
      <c r="C4" s="40"/>
      <c r="D4" s="44" t="str">
        <f>"TOTAL INVESTED"&amp;CHAR(10)&amp;"₹"&amp;TEXT('Performance '!B3,"#,##0")</f>
        <v>TOTAL INVESTED
₹11,45,050</v>
      </c>
      <c r="E4" s="44"/>
      <c r="F4" s="44"/>
      <c r="G4" s="45" t="str">
        <f>"UNREALISED P&amp;L"&amp;CHAR(10)&amp;"₹"&amp;TEXT('Performance '!B5,"#,##0")</f>
        <v>UNREALISED P&amp;L
₹-7,55,814</v>
      </c>
      <c r="H4" s="45"/>
      <c r="I4" s="45"/>
      <c r="J4" s="46" t="str">
        <f>"TOTAL RETURN"&amp;CHAR(10)&amp;TEXT('Performance '!B7,"0.00%")</f>
        <v>TOTAL RETURN
-66.01%</v>
      </c>
      <c r="K4" s="46"/>
      <c r="L4" s="46"/>
    </row>
    <row r="5" spans="1:12" x14ac:dyDescent="0.35">
      <c r="A5" s="40"/>
      <c r="B5" s="40"/>
      <c r="C5" s="40"/>
      <c r="D5" s="44"/>
      <c r="E5" s="44"/>
      <c r="F5" s="44"/>
      <c r="G5" s="45"/>
      <c r="H5" s="45"/>
      <c r="I5" s="45"/>
      <c r="J5" s="46"/>
      <c r="K5" s="46"/>
      <c r="L5" s="46"/>
    </row>
    <row r="6" spans="1:12" x14ac:dyDescent="0.35">
      <c r="A6" s="40"/>
      <c r="B6" s="40"/>
      <c r="C6" s="40"/>
      <c r="D6" s="44"/>
      <c r="E6" s="44"/>
      <c r="F6" s="44"/>
      <c r="G6" s="45"/>
      <c r="H6" s="45"/>
      <c r="I6" s="45"/>
      <c r="J6" s="46"/>
      <c r="K6" s="46"/>
      <c r="L6" s="46"/>
    </row>
    <row r="7" spans="1:12" x14ac:dyDescent="0.35">
      <c r="A7" s="39" t="str">
        <f>"TODAY'S CHANGE"&amp;CHAR(10)&amp;TEXT(AVERAGE(' Holdings sheet'!M2:M11),"0.00%")</f>
        <v>TODAY'S CHANGE
1.95%</v>
      </c>
      <c r="B7" s="39"/>
      <c r="C7" s="39"/>
      <c r="D7" s="40" t="str">
        <f>"CASH BALANCE"&amp;CHAR(10)&amp;"₹0"</f>
        <v>CASH BALANCE
₹0</v>
      </c>
      <c r="E7" s="40"/>
      <c r="F7" s="40"/>
      <c r="G7" s="40" t="str">
        <f>"HOLDINGS"&amp;CHAR(10)&amp;TEXT('Performance '!B14,"0")&amp;" Stocks"</f>
        <v>HOLDINGS
10 Stocks</v>
      </c>
      <c r="H7" s="40"/>
      <c r="I7" s="40"/>
      <c r="J7" s="40" t="str">
        <f ca="1">"CAGR"&amp;CHAR(10)&amp;TEXT('Performance '!B8,"0.00%")</f>
        <v>CAGR
-34.17%</v>
      </c>
      <c r="K7" s="40"/>
      <c r="L7" s="40"/>
    </row>
    <row r="8" spans="1:12" x14ac:dyDescent="0.35">
      <c r="A8" s="39"/>
      <c r="B8" s="39"/>
      <c r="C8" s="39"/>
      <c r="D8" s="40"/>
      <c r="E8" s="40"/>
      <c r="F8" s="40"/>
      <c r="G8" s="40"/>
      <c r="H8" s="40"/>
      <c r="I8" s="40"/>
      <c r="J8" s="40"/>
      <c r="K8" s="40"/>
      <c r="L8" s="40"/>
    </row>
    <row r="9" spans="1:12" x14ac:dyDescent="0.35">
      <c r="A9" s="39"/>
      <c r="B9" s="39"/>
      <c r="C9" s="39"/>
      <c r="D9" s="40"/>
      <c r="E9" s="40"/>
      <c r="F9" s="40"/>
      <c r="G9" s="40"/>
      <c r="H9" s="40"/>
      <c r="I9" s="40"/>
      <c r="J9" s="40"/>
      <c r="K9" s="40"/>
      <c r="L9" s="40"/>
    </row>
    <row r="11" spans="1:12" x14ac:dyDescent="0.35">
      <c r="A11" s="41" t="s">
        <v>143</v>
      </c>
      <c r="B11" s="41"/>
      <c r="C11" s="41"/>
    </row>
    <row r="12" spans="1:12" x14ac:dyDescent="0.35">
      <c r="A12" t="str">
        <f>'Allocation Analytics'!A5</f>
        <v>Energy</v>
      </c>
      <c r="B12" s="3">
        <f>'Allocation Analytics'!C5</f>
        <v>0.16608193084085837</v>
      </c>
    </row>
    <row r="13" spans="1:12" x14ac:dyDescent="0.35">
      <c r="A13" t="str">
        <f>'Allocation Analytics'!A6</f>
        <v>Technology</v>
      </c>
      <c r="B13" s="3">
        <f>'Allocation Analytics'!C6</f>
        <v>0.47570828567582202</v>
      </c>
    </row>
    <row r="14" spans="1:12" x14ac:dyDescent="0.35">
      <c r="A14" t="str">
        <f>'Allocation Analytics'!A7</f>
        <v>Financial</v>
      </c>
      <c r="B14" s="3">
        <f>'Allocation Analytics'!C7</f>
        <v>0.11807887048358373</v>
      </c>
      <c r="K14" s="29" t="s">
        <v>144</v>
      </c>
    </row>
    <row r="15" spans="1:12" x14ac:dyDescent="0.35">
      <c r="A15" t="str">
        <f>'Allocation Analytics'!A8</f>
        <v>Automobile</v>
      </c>
      <c r="B15" s="3">
        <f>'Allocation Analytics'!C8</f>
        <v>0.11160335796622919</v>
      </c>
      <c r="K15" s="30" t="s">
        <v>145</v>
      </c>
      <c r="L15" s="30" t="s">
        <v>82</v>
      </c>
    </row>
    <row r="16" spans="1:12" x14ac:dyDescent="0.35">
      <c r="A16" t="str">
        <f>'Allocation Analytics'!A9</f>
        <v>Healthcare</v>
      </c>
      <c r="B16" s="3">
        <f>'Allocation Analytics'!C9</f>
        <v>0.12852755503350671</v>
      </c>
      <c r="K16" s="1" t="str">
        <f>INDEX(' Holdings sheet'!$A$2:$A$11,MATCH(LARGE(' Holdings sheet'!$K$2:$K$11,ROW()-15),' Holdings sheet'!$K$2:$K$11,0))</f>
        <v>SUNPHARMA.NS</v>
      </c>
      <c r="L16" s="3">
        <f>LARGE(' Holdings sheet'!$K$2:$K$11,ROW()-15)</f>
        <v>0.29019987105093487</v>
      </c>
    </row>
    <row r="17" spans="11:12" x14ac:dyDescent="0.35">
      <c r="K17" s="1" t="str">
        <f>INDEX(' Holdings sheet'!$A$2:$A$11,MATCH(LARGE(' Holdings sheet'!$K$2:$K$11,ROW()-15),' Holdings sheet'!$K$2:$K$11,0))</f>
        <v>TATAMOTORS.NS</v>
      </c>
      <c r="L17" s="3">
        <f>LARGE(' Holdings sheet'!$K$2:$K$11,ROW()-15)</f>
        <v>-0.14865262126408624</v>
      </c>
    </row>
    <row r="18" spans="11:12" x14ac:dyDescent="0.35">
      <c r="K18" s="1" t="str">
        <f>INDEX(' Holdings sheet'!$A$2:$A$11,MATCH(LARGE(' Holdings sheet'!$K$2:$K$11,ROW()-15),' Holdings sheet'!$K$2:$K$11,0))</f>
        <v>INFY.NS</v>
      </c>
      <c r="L18" s="3">
        <f>LARGE(' Holdings sheet'!$K$2:$K$11,ROW()-15)</f>
        <v>-0.20356239944840265</v>
      </c>
    </row>
    <row r="19" spans="11:12" x14ac:dyDescent="0.35">
      <c r="K19" s="1" t="str">
        <f>INDEX(' Holdings sheet'!$A$2:$A$11,MATCH(LARGE(' Holdings sheet'!$K$2:$K$11,ROW()-15),' Holdings sheet'!$K$2:$K$11,0))</f>
        <v>TCS.NS</v>
      </c>
      <c r="L19" s="3">
        <f>LARGE(' Holdings sheet'!$K$2:$K$11,ROW()-15)</f>
        <v>-0.3601929401447051</v>
      </c>
    </row>
    <row r="20" spans="11:12" x14ac:dyDescent="0.35">
      <c r="K20" s="1" t="str">
        <f>INDEX(' Holdings sheet'!$A$2:$A$11,MATCH(LARGE(' Holdings sheet'!$K$2:$K$11,ROW()-15),' Holdings sheet'!$K$2:$K$11,0))</f>
        <v>RELIANCE.NS</v>
      </c>
      <c r="L20" s="3">
        <f>LARGE(' Holdings sheet'!$K$2:$K$11,ROW()-15)</f>
        <v>-0.47239338910426437</v>
      </c>
    </row>
    <row r="21" spans="11:12" x14ac:dyDescent="0.35">
      <c r="K21" s="1"/>
      <c r="L21" s="3"/>
    </row>
    <row r="22" spans="11:12" x14ac:dyDescent="0.35">
      <c r="K22" s="31" t="s">
        <v>146</v>
      </c>
      <c r="L22" s="3"/>
    </row>
    <row r="23" spans="11:12" x14ac:dyDescent="0.35">
      <c r="K23" s="30" t="s">
        <v>145</v>
      </c>
      <c r="L23" s="30" t="s">
        <v>82</v>
      </c>
    </row>
    <row r="24" spans="11:12" x14ac:dyDescent="0.35">
      <c r="K24" s="1" t="str">
        <f>INDEX(' Holdings sheet'!$A$2:$A$11,MATCH(SMALL(' Holdings sheet'!$K$2:$K$11,ROW()-23),' Holdings sheet'!$K$2:$K$11,0))</f>
        <v>MSFT</v>
      </c>
      <c r="L24" s="3">
        <f>SMALL(' Holdings sheet'!$K$2:$K$11,ROW()-23)</f>
        <v>-0.98711257923399698</v>
      </c>
    </row>
    <row r="25" spans="11:12" x14ac:dyDescent="0.35">
      <c r="K25" s="1" t="str">
        <f>INDEX(' Holdings sheet'!$A$2:$A$11,MATCH(SMALL(' Holdings sheet'!$K$2:$K$11,ROW()-23),' Holdings sheet'!$K$2:$K$11,0))</f>
        <v>AAPL</v>
      </c>
      <c r="L25" s="3">
        <f>SMALL(' Holdings sheet'!$K$2:$K$11,ROW()-23)</f>
        <v>-0.98449343099639586</v>
      </c>
    </row>
    <row r="26" spans="11:12" x14ac:dyDescent="0.35">
      <c r="K26" s="1" t="str">
        <f>INDEX(' Holdings sheet'!$A$2:$A$11,MATCH(SMALL(' Holdings sheet'!$K$2:$K$11,ROW()-23),' Holdings sheet'!$K$2:$K$11,0))</f>
        <v>BAJFINANCE.NS</v>
      </c>
      <c r="L26" s="3">
        <f>SMALL(' Holdings sheet'!$K$2:$K$11,ROW()-23)</f>
        <v>-0.84511149228130356</v>
      </c>
    </row>
    <row r="27" spans="11:12" x14ac:dyDescent="0.35">
      <c r="K27" s="1" t="str">
        <f>INDEX(' Holdings sheet'!$A$2:$A$11,MATCH(SMALL(' Holdings sheet'!$K$2:$K$11,ROW()-23),' Holdings sheet'!$K$2:$K$11,0))</f>
        <v>WIPRO.NS</v>
      </c>
      <c r="L27" s="3">
        <f>SMALL(' Holdings sheet'!$K$2:$K$11,ROW()-23)</f>
        <v>-0.61201457574180118</v>
      </c>
    </row>
    <row r="28" spans="11:12" x14ac:dyDescent="0.35">
      <c r="K28" s="1" t="str">
        <f>INDEX(' Holdings sheet'!$A$2:$A$11,MATCH(SMALL(' Holdings sheet'!$K$2:$K$11,ROW()-23),' Holdings sheet'!$K$2:$K$11,0))</f>
        <v>HDFCBANK.NS</v>
      </c>
      <c r="L28" s="3">
        <f>SMALL(' Holdings sheet'!$K$2:$K$11,ROW()-23)</f>
        <v>-0.53477824913227923</v>
      </c>
    </row>
  </sheetData>
  <mergeCells count="11">
    <mergeCell ref="A1:L1"/>
    <mergeCell ref="A2:L2"/>
    <mergeCell ref="A4:C6"/>
    <mergeCell ref="D4:F6"/>
    <mergeCell ref="G4:I6"/>
    <mergeCell ref="J4:L6"/>
    <mergeCell ref="A7:C9"/>
    <mergeCell ref="D7:F9"/>
    <mergeCell ref="G7:I9"/>
    <mergeCell ref="J7:L9"/>
    <mergeCell ref="A11:C11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0DA973-C44A-4C75-A042-A5D417674F2A}">
  <sheetPr codeName="Sheet11"/>
  <dimension ref="A1:F24"/>
  <sheetViews>
    <sheetView tabSelected="1" workbookViewId="0">
      <selection activeCell="H8" sqref="H8"/>
    </sheetView>
  </sheetViews>
  <sheetFormatPr defaultRowHeight="14.5" x14ac:dyDescent="0.35"/>
  <cols>
    <col min="2" max="2" width="10.36328125" bestFit="1" customWidth="1"/>
  </cols>
  <sheetData>
    <row r="1" spans="1:6" x14ac:dyDescent="0.35">
      <c r="A1" s="36" t="str">
        <f>"INVESTMENT PORTFOLIO REPORT"</f>
        <v>INVESTMENT PORTFOLIO REPORT</v>
      </c>
      <c r="B1" s="36"/>
      <c r="C1" s="36"/>
      <c r="D1" s="36"/>
      <c r="E1" s="36"/>
      <c r="F1" s="36"/>
    </row>
    <row r="2" spans="1:6" x14ac:dyDescent="0.35">
      <c r="A2" s="37" t="str">
        <f ca="1">"Generated on: "&amp;TEXT(NOW(),"DD-MMM-YYYY HH:MM")</f>
        <v>Generated on: 31-Jul-2026 04:11</v>
      </c>
      <c r="B2" s="37"/>
      <c r="C2" s="37"/>
      <c r="D2" s="37"/>
      <c r="E2" s="37"/>
      <c r="F2" s="37"/>
    </row>
    <row r="4" spans="1:6" ht="15.5" x14ac:dyDescent="0.35">
      <c r="A4" s="33" t="s">
        <v>156</v>
      </c>
    </row>
    <row r="5" spans="1:6" x14ac:dyDescent="0.35">
      <c r="A5" t="s">
        <v>157</v>
      </c>
      <c r="B5" s="4">
        <f>'Performance '!B3</f>
        <v>1145050</v>
      </c>
    </row>
    <row r="6" spans="1:6" x14ac:dyDescent="0.35">
      <c r="A6" t="s">
        <v>158</v>
      </c>
    </row>
    <row r="7" spans="1:6" x14ac:dyDescent="0.35">
      <c r="A7" t="s">
        <v>159</v>
      </c>
      <c r="B7" s="4">
        <f>'Performance '!B5</f>
        <v>-755814.40000000002</v>
      </c>
    </row>
    <row r="8" spans="1:6" x14ac:dyDescent="0.35">
      <c r="A8" t="s">
        <v>160</v>
      </c>
      <c r="B8" s="3">
        <f>'Performance '!B7</f>
        <v>-0.66007108859875119</v>
      </c>
    </row>
    <row r="9" spans="1:6" x14ac:dyDescent="0.35">
      <c r="A9" t="s">
        <v>161</v>
      </c>
      <c r="B9" s="3">
        <f ca="1">'Performance '!B8</f>
        <v>-0.34169776932000551</v>
      </c>
    </row>
    <row r="10" spans="1:6" x14ac:dyDescent="0.35">
      <c r="A10" t="s">
        <v>162</v>
      </c>
      <c r="B10" s="3">
        <f>'Performance '!B11</f>
        <v>0.1</v>
      </c>
    </row>
    <row r="13" spans="1:6" x14ac:dyDescent="0.35">
      <c r="A13" s="34" t="s">
        <v>163</v>
      </c>
    </row>
    <row r="14" spans="1:6" s="35" customFormat="1" x14ac:dyDescent="0.35">
      <c r="A14" s="35" t="s">
        <v>47</v>
      </c>
      <c r="B14" s="35" t="s">
        <v>164</v>
      </c>
      <c r="C14" s="35" t="s">
        <v>165</v>
      </c>
      <c r="D14" s="35" t="s">
        <v>166</v>
      </c>
      <c r="E14" s="35" t="s">
        <v>167</v>
      </c>
      <c r="F14" s="35" t="s">
        <v>82</v>
      </c>
    </row>
    <row r="15" spans="1:6" x14ac:dyDescent="0.35">
      <c r="A15" t="str">
        <f>' Holdings sheet'!A2</f>
        <v>RELIANCE.NS</v>
      </c>
      <c r="B15" t="str">
        <f>' Holdings sheet'!B2</f>
        <v>Reliance Industries</v>
      </c>
      <c r="C15" t="str">
        <f>' Holdings sheet'!C2</f>
        <v>Energy</v>
      </c>
      <c r="D15" t="str">
        <f>' Holdings sheet'!D2</f>
        <v>Equity</v>
      </c>
      <c r="E15">
        <f>' Holdings sheet'!E2</f>
        <v>50</v>
      </c>
      <c r="F15">
        <f>' Holdings sheet'!F2</f>
        <v>2450.5</v>
      </c>
    </row>
    <row r="16" spans="1:6" x14ac:dyDescent="0.35">
      <c r="A16" t="str">
        <f>' Holdings sheet'!A3</f>
        <v>TCS.NS</v>
      </c>
      <c r="B16" t="str">
        <f>' Holdings sheet'!B3</f>
        <v>Tata Consultancy Serv.</v>
      </c>
      <c r="C16" t="str">
        <f>' Holdings sheet'!C3</f>
        <v>Technology</v>
      </c>
      <c r="D16" t="str">
        <f>' Holdings sheet'!D3</f>
        <v>Equity</v>
      </c>
      <c r="E16">
        <f>' Holdings sheet'!E3</f>
        <v>30</v>
      </c>
      <c r="F16">
        <f>' Holdings sheet'!F3</f>
        <v>3800.8333333333335</v>
      </c>
    </row>
    <row r="17" spans="1:6" x14ac:dyDescent="0.35">
      <c r="A17" t="str">
        <f>' Holdings sheet'!A4</f>
        <v>INFY.NS</v>
      </c>
      <c r="B17" t="str">
        <f>' Holdings sheet'!B4</f>
        <v>Infosys Ltd</v>
      </c>
      <c r="C17" t="str">
        <f>' Holdings sheet'!C4</f>
        <v>Technology</v>
      </c>
      <c r="D17" t="str">
        <f>' Holdings sheet'!D4</f>
        <v>Equity</v>
      </c>
      <c r="E17">
        <f>' Holdings sheet'!E4</f>
        <v>75</v>
      </c>
      <c r="F17">
        <f>' Holdings sheet'!F4</f>
        <v>1450.3333333333333</v>
      </c>
    </row>
    <row r="18" spans="1:6" x14ac:dyDescent="0.35">
      <c r="A18" t="str">
        <f>' Holdings sheet'!A5</f>
        <v>HDFCBANK.NS</v>
      </c>
      <c r="B18" t="str">
        <f>' Holdings sheet'!B5</f>
        <v>HDFC Bank Ltd</v>
      </c>
      <c r="C18" t="str">
        <f>' Holdings sheet'!C5</f>
        <v>Financial</v>
      </c>
      <c r="D18" t="str">
        <f>' Holdings sheet'!D5</f>
        <v>Equity</v>
      </c>
      <c r="E18">
        <f>' Holdings sheet'!E5</f>
        <v>40</v>
      </c>
      <c r="F18">
        <f>' Holdings sheet'!F5</f>
        <v>1620.625</v>
      </c>
    </row>
    <row r="19" spans="1:6" x14ac:dyDescent="0.35">
      <c r="A19" t="str">
        <f>' Holdings sheet'!A6</f>
        <v>TATAMOTORS.NS</v>
      </c>
      <c r="B19" t="str">
        <f>' Holdings sheet'!B6</f>
        <v>Tata Motors Ltd</v>
      </c>
      <c r="C19" t="str">
        <f>' Holdings sheet'!C6</f>
        <v>Automobile</v>
      </c>
      <c r="D19" t="str">
        <f>' Holdings sheet'!D6</f>
        <v>Equity</v>
      </c>
      <c r="E19">
        <f>' Holdings sheet'!E6</f>
        <v>60</v>
      </c>
      <c r="F19">
        <f>' Holdings sheet'!F6</f>
        <v>850.41666666666663</v>
      </c>
    </row>
    <row r="20" spans="1:6" x14ac:dyDescent="0.35">
      <c r="A20" t="str">
        <f>' Holdings sheet'!A7</f>
        <v>SUNPHARMA.NS</v>
      </c>
      <c r="B20" t="str">
        <f>' Holdings sheet'!B7</f>
        <v>Sun Pharmaceutical</v>
      </c>
      <c r="C20" t="str">
        <f>' Holdings sheet'!C7</f>
        <v>Healthcare</v>
      </c>
      <c r="D20" t="str">
        <f>' Holdings sheet'!D7</f>
        <v>Equity</v>
      </c>
      <c r="E20">
        <f>' Holdings sheet'!E7</f>
        <v>25</v>
      </c>
      <c r="F20">
        <f>' Holdings sheet'!F7</f>
        <v>1551</v>
      </c>
    </row>
    <row r="21" spans="1:6" x14ac:dyDescent="0.35">
      <c r="A21" t="str">
        <f>' Holdings sheet'!A8</f>
        <v>BAJFINANCE.NS</v>
      </c>
      <c r="B21" t="str">
        <f>' Holdings sheet'!B8</f>
        <v>Bajaj Finance Ltd</v>
      </c>
      <c r="C21" t="str">
        <f>' Holdings sheet'!C8</f>
        <v>Financial</v>
      </c>
      <c r="D21" t="str">
        <f>' Holdings sheet'!D8</f>
        <v>Equity</v>
      </c>
      <c r="E21">
        <f>' Holdings sheet'!E8</f>
        <v>15</v>
      </c>
      <c r="F21">
        <f>' Holdings sheet'!F8</f>
        <v>6801.666666666667</v>
      </c>
    </row>
    <row r="22" spans="1:6" x14ac:dyDescent="0.35">
      <c r="A22" t="str">
        <f>' Holdings sheet'!A9</f>
        <v>WIPRO.NS</v>
      </c>
      <c r="B22" t="str">
        <f>' Holdings sheet'!B9</f>
        <v>Wipro Ltd</v>
      </c>
      <c r="C22" t="str">
        <f>' Holdings sheet'!C9</f>
        <v>Technology</v>
      </c>
      <c r="D22" t="str">
        <f>' Holdings sheet'!D9</f>
        <v>Equity</v>
      </c>
      <c r="E22">
        <f>' Holdings sheet'!E9</f>
        <v>100</v>
      </c>
      <c r="F22">
        <f>' Holdings sheet'!F9</f>
        <v>480.25</v>
      </c>
    </row>
    <row r="23" spans="1:6" x14ac:dyDescent="0.35">
      <c r="A23" t="str">
        <f>' Holdings sheet'!A10</f>
        <v>AAPL</v>
      </c>
      <c r="B23" t="str">
        <f>' Holdings sheet'!B10</f>
        <v>Apple Inc</v>
      </c>
      <c r="C23" t="str">
        <f>' Holdings sheet'!C10</f>
        <v>Technology</v>
      </c>
      <c r="D23" t="str">
        <f>' Holdings sheet'!D10</f>
        <v>Equity</v>
      </c>
      <c r="E23">
        <f>' Holdings sheet'!E10</f>
        <v>10</v>
      </c>
      <c r="F23">
        <f>' Holdings sheet'!F10</f>
        <v>21502.5</v>
      </c>
    </row>
    <row r="24" spans="1:6" x14ac:dyDescent="0.35">
      <c r="A24" t="str">
        <f>' Holdings sheet'!A11</f>
        <v>MSFT</v>
      </c>
      <c r="B24" t="str">
        <f>' Holdings sheet'!B11</f>
        <v>Microsoft Corp</v>
      </c>
      <c r="C24" t="str">
        <f>' Holdings sheet'!C11</f>
        <v>Technology</v>
      </c>
      <c r="D24" t="str">
        <f>' Holdings sheet'!D11</f>
        <v>Equity</v>
      </c>
      <c r="E24">
        <f>' Holdings sheet'!E11</f>
        <v>8</v>
      </c>
      <c r="F24">
        <f>' Holdings sheet'!F11</f>
        <v>35003.125</v>
      </c>
    </row>
  </sheetData>
  <mergeCells count="2">
    <mergeCell ref="A1:F1"/>
    <mergeCell ref="A2:F2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Transaction entry sheet </vt:lpstr>
      <vt:lpstr>Settings </vt:lpstr>
      <vt:lpstr> Holdings sheet</vt:lpstr>
      <vt:lpstr>Market Data</vt:lpstr>
      <vt:lpstr>Performance </vt:lpstr>
      <vt:lpstr>Risk Analytics</vt:lpstr>
      <vt:lpstr>Allocation Analytics</vt:lpstr>
      <vt:lpstr>Watchlist </vt:lpstr>
      <vt:lpstr>Home dashboard </vt:lpstr>
      <vt:lpstr>(Report) </vt:lpstr>
      <vt:lpstr>'(Report) 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attiswani jaswal</dc:creator>
  <cp:lastModifiedBy>attiswani jaswal</cp:lastModifiedBy>
  <cp:lastPrinted>2026-07-30T22:38:47Z</cp:lastPrinted>
  <dcterms:created xsi:type="dcterms:W3CDTF">2026-07-02T06:12:25Z</dcterms:created>
  <dcterms:modified xsi:type="dcterms:W3CDTF">2026-07-30T22:42:52Z</dcterms:modified>
</cp:coreProperties>
</file>